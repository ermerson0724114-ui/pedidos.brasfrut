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LOGISTICA INTERNA\04 - Pedido de suco RH\00 - Banco de dados\02 - Cadastros colaboradores\"/>
    </mc:Choice>
  </mc:AlternateContent>
  <xr:revisionPtr revIDLastSave="0" documentId="13_ncr:1_{F6B3B245-3872-4F70-BC4F-EF4AFE8B2337}" xr6:coauthVersionLast="47" xr6:coauthVersionMax="47" xr10:uidLastSave="{00000000-0000-0000-0000-000000000000}"/>
  <bookViews>
    <workbookView xWindow="-120" yWindow="-120" windowWidth="29040" windowHeight="15840" tabRatio="923" firstSheet="2" activeTab="2" xr2:uid="{00000000-000D-0000-FFFF-FFFF00000000}"/>
  </bookViews>
  <sheets>
    <sheet name="DADOS" sheetId="34" state="hidden" r:id="rId1"/>
    <sheet name="modelo" sheetId="50" state="hidden" r:id="rId2"/>
    <sheet name="Colaboradores" sheetId="51" r:id="rId3"/>
    <sheet name="VEGETAIS" sheetId="40" state="hidden" r:id="rId4"/>
  </sheets>
  <externalReferences>
    <externalReference r:id="rId5"/>
  </externalReferences>
  <definedNames>
    <definedName name="_xlnm._FilterDatabase" localSheetId="3" hidden="1">VEGETAIS!$A$9:$B$17</definedName>
    <definedName name="_xlnm.Print_Area" localSheetId="3">VEGETAIS!$A$9:$T$809</definedName>
    <definedName name="BD_1">[1]Funcionarios!#REF!</definedName>
    <definedName name="CHAPA">#REF!</definedName>
    <definedName name="DadosExternos_1" localSheetId="2" hidden="1">Colaboradores!$A$1:$E$447</definedName>
    <definedName name="DISTRIBUIÇÃO">[1]Funcionarios!$B$30:$E$366</definedName>
    <definedName name="EXPEDICAO">'[1]PARA EXPEDICAO'!$B$5:$C$29</definedName>
    <definedName name="funcionarios">[1]Funcionarios!$A$31:$E$445</definedName>
    <definedName name="NECTAR2">[1]BD!$F$5:$G$15</definedName>
    <definedName name="POLPINHA2">[1]BD!$B$5:$C$29</definedName>
    <definedName name="SegmentaçãodeDados_LISTA_PERTENCENTE1">#N/A</definedName>
    <definedName name="_xlnm.Print_Titles" localSheetId="3">VEGETAIS!$1:$8</definedName>
  </definedNames>
  <calcPr calcId="181029"/>
  <extLst>
    <ext xmlns:x14="http://schemas.microsoft.com/office/spreadsheetml/2009/9/main" uri="{876F7934-8845-4945-9796-88D515C7AA90}">
      <x14:pivotCaches>
        <pivotCache cacheId="1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" i="40" l="1"/>
  <c r="B809" i="40" l="1"/>
  <c r="A809" i="40"/>
  <c r="B808" i="40"/>
  <c r="A808" i="40"/>
  <c r="B807" i="40"/>
  <c r="A807" i="40"/>
  <c r="B806" i="40"/>
  <c r="A806" i="40"/>
  <c r="B805" i="40"/>
  <c r="A805" i="40"/>
  <c r="B804" i="40"/>
  <c r="A804" i="40"/>
  <c r="B803" i="40"/>
  <c r="A803" i="40"/>
  <c r="B802" i="40"/>
  <c r="A802" i="40"/>
  <c r="B801" i="40"/>
  <c r="A801" i="40"/>
  <c r="B800" i="40"/>
  <c r="A800" i="40"/>
  <c r="B799" i="40"/>
  <c r="A799" i="40"/>
  <c r="B798" i="40"/>
  <c r="A798" i="40"/>
  <c r="B797" i="40"/>
  <c r="A797" i="40"/>
  <c r="B796" i="40"/>
  <c r="A796" i="40"/>
  <c r="B795" i="40"/>
  <c r="A795" i="40"/>
  <c r="B794" i="40"/>
  <c r="A794" i="40"/>
  <c r="B793" i="40"/>
  <c r="A793" i="40"/>
  <c r="B792" i="40"/>
  <c r="A792" i="40"/>
  <c r="B791" i="40"/>
  <c r="A791" i="40"/>
  <c r="B790" i="40"/>
  <c r="A790" i="40"/>
  <c r="B789" i="40"/>
  <c r="A789" i="40"/>
  <c r="B788" i="40"/>
  <c r="A788" i="40"/>
  <c r="B787" i="40"/>
  <c r="A787" i="40"/>
  <c r="B786" i="40"/>
  <c r="A786" i="40"/>
  <c r="B785" i="40"/>
  <c r="A785" i="40"/>
  <c r="B784" i="40"/>
  <c r="A784" i="40"/>
  <c r="B783" i="40"/>
  <c r="A783" i="40"/>
  <c r="B782" i="40"/>
  <c r="A782" i="40"/>
  <c r="B781" i="40"/>
  <c r="A781" i="40"/>
  <c r="B780" i="40"/>
  <c r="A780" i="40"/>
  <c r="B779" i="40"/>
  <c r="A779" i="40"/>
  <c r="B778" i="40"/>
  <c r="A778" i="40"/>
  <c r="B777" i="40"/>
  <c r="A777" i="40"/>
  <c r="B776" i="40"/>
  <c r="A776" i="40"/>
  <c r="B775" i="40"/>
  <c r="A775" i="40"/>
  <c r="B774" i="40"/>
  <c r="A774" i="40"/>
  <c r="B773" i="40"/>
  <c r="A773" i="40"/>
  <c r="B772" i="40"/>
  <c r="A772" i="40"/>
  <c r="B771" i="40"/>
  <c r="A771" i="40"/>
  <c r="B770" i="40"/>
  <c r="A770" i="40"/>
  <c r="B769" i="40"/>
  <c r="A769" i="40"/>
  <c r="B768" i="40"/>
  <c r="A768" i="40"/>
  <c r="B767" i="40"/>
  <c r="A767" i="40"/>
  <c r="B766" i="40"/>
  <c r="A766" i="40"/>
  <c r="B765" i="40"/>
  <c r="A765" i="40"/>
  <c r="B764" i="40"/>
  <c r="A764" i="40"/>
  <c r="B763" i="40"/>
  <c r="A763" i="40"/>
  <c r="B762" i="40"/>
  <c r="A762" i="40"/>
  <c r="B761" i="40"/>
  <c r="A761" i="40"/>
  <c r="B760" i="40"/>
  <c r="A760" i="40"/>
  <c r="B759" i="40"/>
  <c r="A759" i="40"/>
  <c r="B758" i="40"/>
  <c r="A758" i="40"/>
  <c r="B757" i="40"/>
  <c r="A757" i="40"/>
  <c r="B756" i="40"/>
  <c r="A756" i="40"/>
  <c r="B755" i="40"/>
  <c r="A755" i="40"/>
  <c r="B754" i="40"/>
  <c r="A754" i="40"/>
  <c r="B753" i="40"/>
  <c r="A753" i="40"/>
  <c r="B752" i="40"/>
  <c r="A752" i="40"/>
  <c r="A4" i="40" l="1"/>
  <c r="A9" i="40"/>
  <c r="Y9" i="40" s="1"/>
  <c r="A10" i="40" l="1"/>
  <c r="A11" i="40" l="1"/>
  <c r="A12" i="40" l="1"/>
  <c r="A13" i="40" l="1"/>
  <c r="A14" i="40" l="1"/>
  <c r="A15" i="40" l="1"/>
  <c r="A16" i="40" l="1"/>
  <c r="A17" i="40" l="1"/>
  <c r="A18" i="40" l="1"/>
  <c r="A19" i="40" l="1"/>
  <c r="A20" i="40" l="1"/>
  <c r="A21" i="40" l="1"/>
  <c r="A22" i="40" l="1"/>
  <c r="A23" i="40" l="1"/>
  <c r="A24" i="40" l="1"/>
  <c r="A25" i="40" l="1"/>
  <c r="A26" i="40" l="1"/>
  <c r="A27" i="40" l="1"/>
  <c r="A28" i="40" l="1"/>
  <c r="A29" i="40" l="1"/>
  <c r="A30" i="40" l="1"/>
  <c r="A31" i="40" l="1"/>
  <c r="A32" i="40" l="1"/>
  <c r="A33" i="40" l="1"/>
  <c r="A34" i="40" l="1"/>
  <c r="A35" i="40" l="1"/>
  <c r="A36" i="40" l="1"/>
  <c r="A37" i="40" l="1"/>
  <c r="A38" i="40" l="1"/>
  <c r="A39" i="40" l="1"/>
  <c r="A40" i="40" l="1"/>
  <c r="A41" i="40" l="1"/>
  <c r="A42" i="40" l="1"/>
  <c r="A43" i="40" l="1"/>
  <c r="A44" i="40" l="1"/>
  <c r="A45" i="40" l="1"/>
  <c r="A46" i="40" l="1"/>
  <c r="A47" i="40" l="1"/>
  <c r="A48" i="40" l="1"/>
  <c r="A49" i="40" l="1"/>
  <c r="A50" i="40" l="1"/>
  <c r="A51" i="40" l="1"/>
  <c r="A52" i="40" l="1"/>
  <c r="A53" i="40" l="1"/>
  <c r="A54" i="40" l="1"/>
  <c r="A55" i="40" l="1"/>
  <c r="A56" i="40" l="1"/>
  <c r="A57" i="40" l="1"/>
  <c r="A58" i="40" l="1"/>
  <c r="A59" i="40" l="1"/>
  <c r="A60" i="40" l="1"/>
  <c r="A61" i="40" l="1"/>
  <c r="A62" i="40" l="1"/>
  <c r="A63" i="40" l="1"/>
  <c r="A64" i="40" l="1"/>
  <c r="A65" i="40" l="1"/>
  <c r="A66" i="40" l="1"/>
  <c r="A67" i="40" l="1"/>
  <c r="A68" i="40" l="1"/>
  <c r="A69" i="40" l="1"/>
  <c r="Y69" i="40" s="1"/>
  <c r="A70" i="40" l="1"/>
  <c r="A71" i="40" l="1"/>
  <c r="A72" i="40" l="1"/>
  <c r="A73" i="40" l="1"/>
  <c r="A74" i="40" l="1"/>
  <c r="A75" i="40" l="1"/>
  <c r="A76" i="40" l="1"/>
  <c r="A77" i="40" l="1"/>
  <c r="A78" i="40" l="1"/>
  <c r="A79" i="40" l="1"/>
  <c r="A80" i="40" l="1"/>
  <c r="A81" i="40" l="1"/>
  <c r="A82" i="40" l="1"/>
  <c r="A83" i="40" l="1"/>
  <c r="A84" i="40" l="1"/>
  <c r="A85" i="40" l="1"/>
  <c r="A86" i="40" l="1"/>
  <c r="A87" i="40" l="1"/>
  <c r="A88" i="40" l="1"/>
  <c r="A89" i="40" l="1"/>
  <c r="A90" i="40" l="1"/>
  <c r="A91" i="40" l="1"/>
  <c r="A92" i="40" l="1"/>
  <c r="A93" i="40" l="1"/>
  <c r="A94" i="40" l="1"/>
  <c r="A95" i="40" l="1"/>
  <c r="A96" i="40" l="1"/>
  <c r="A97" i="40" l="1"/>
  <c r="A98" i="40" l="1"/>
  <c r="A99" i="40" l="1"/>
  <c r="A100" i="40" l="1"/>
  <c r="A101" i="40" l="1"/>
  <c r="A102" i="40" l="1"/>
  <c r="A103" i="40" l="1"/>
  <c r="A104" i="40" l="1"/>
  <c r="A105" i="40" l="1"/>
  <c r="A106" i="40" l="1"/>
  <c r="A107" i="40" l="1"/>
  <c r="A108" i="40" l="1"/>
  <c r="A109" i="40" l="1"/>
  <c r="A110" i="40" l="1"/>
  <c r="A111" i="40" l="1"/>
  <c r="A112" i="40" l="1"/>
  <c r="A113" i="40" l="1"/>
  <c r="A114" i="40" l="1"/>
  <c r="A115" i="40" l="1"/>
  <c r="A116" i="40" l="1"/>
  <c r="A117" i="40" l="1"/>
  <c r="A118" i="40" l="1"/>
  <c r="A119" i="40" l="1"/>
  <c r="A120" i="40" l="1"/>
  <c r="A121" i="40" l="1"/>
  <c r="A122" i="40" l="1"/>
  <c r="A123" i="40" l="1"/>
  <c r="A124" i="40" l="1"/>
  <c r="A125" i="40" l="1"/>
  <c r="A126" i="40" l="1"/>
  <c r="A127" i="40" l="1"/>
  <c r="A128" i="40" l="1"/>
  <c r="A129" i="40" l="1"/>
  <c r="Y129" i="40" s="1"/>
  <c r="A130" i="40" l="1"/>
  <c r="A131" i="40" l="1"/>
  <c r="A132" i="40" l="1"/>
  <c r="A133" i="40" l="1"/>
  <c r="A134" i="40" l="1"/>
  <c r="A135" i="40" l="1"/>
  <c r="A136" i="40" l="1"/>
  <c r="A137" i="40" l="1"/>
  <c r="A138" i="40" l="1"/>
  <c r="A139" i="40" l="1"/>
  <c r="A140" i="40" l="1"/>
  <c r="A141" i="40" l="1"/>
  <c r="A142" i="40" l="1"/>
  <c r="A143" i="40" l="1"/>
  <c r="A144" i="40" l="1"/>
  <c r="A145" i="40" l="1"/>
  <c r="A146" i="40" l="1"/>
  <c r="A147" i="40" l="1"/>
  <c r="A148" i="40" l="1"/>
  <c r="A149" i="40" l="1"/>
  <c r="A150" i="40" l="1"/>
  <c r="A151" i="40" l="1"/>
  <c r="A152" i="40" l="1"/>
  <c r="A153" i="40" l="1"/>
  <c r="A154" i="40" l="1"/>
  <c r="A155" i="40" l="1"/>
  <c r="A156" i="40" l="1"/>
  <c r="A157" i="40" l="1"/>
  <c r="A158" i="40" l="1"/>
  <c r="A159" i="40" l="1"/>
  <c r="A160" i="40" l="1"/>
  <c r="A161" i="40" l="1"/>
  <c r="A162" i="40" l="1"/>
  <c r="A163" i="40" l="1"/>
  <c r="A164" i="40" l="1"/>
  <c r="A165" i="40" l="1"/>
  <c r="A166" i="40" l="1"/>
  <c r="A167" i="40" l="1"/>
  <c r="A168" i="40" l="1"/>
  <c r="A169" i="40" l="1"/>
  <c r="A170" i="40" l="1"/>
  <c r="A171" i="40" l="1"/>
  <c r="A172" i="40" l="1"/>
  <c r="A173" i="40" l="1"/>
  <c r="A174" i="40" l="1"/>
  <c r="A175" i="40" l="1"/>
  <c r="A176" i="40" l="1"/>
  <c r="A177" i="40" l="1"/>
  <c r="A178" i="40" l="1"/>
  <c r="A179" i="40" l="1"/>
  <c r="A180" i="40" l="1"/>
  <c r="A181" i="40" l="1"/>
  <c r="A182" i="40" l="1"/>
  <c r="A183" i="40" l="1"/>
  <c r="A184" i="40" l="1"/>
  <c r="A185" i="40" l="1"/>
  <c r="A186" i="40" l="1"/>
  <c r="A187" i="40" l="1"/>
  <c r="A188" i="40" l="1"/>
  <c r="A189" i="40" l="1"/>
  <c r="Y189" i="40" s="1"/>
  <c r="A190" i="40" l="1"/>
  <c r="A191" i="40" l="1"/>
  <c r="A192" i="40" l="1"/>
  <c r="A193" i="40" l="1"/>
  <c r="A194" i="40" l="1"/>
  <c r="A195" i="40" l="1"/>
  <c r="A196" i="40" l="1"/>
  <c r="A197" i="40" l="1"/>
  <c r="A198" i="40" l="1"/>
  <c r="A199" i="40" l="1"/>
  <c r="A200" i="40" l="1"/>
  <c r="A201" i="40" l="1"/>
  <c r="A202" i="40" l="1"/>
  <c r="A203" i="40" l="1"/>
  <c r="A204" i="40" l="1"/>
  <c r="A205" i="40" l="1"/>
  <c r="A206" i="40" l="1"/>
  <c r="A207" i="40" l="1"/>
  <c r="A208" i="40" l="1"/>
  <c r="A209" i="40" l="1"/>
  <c r="A210" i="40" l="1"/>
  <c r="A211" i="40" l="1"/>
  <c r="A212" i="40" l="1"/>
  <c r="A213" i="40" l="1"/>
  <c r="A214" i="40" l="1"/>
  <c r="A215" i="40" l="1"/>
  <c r="A216" i="40" l="1"/>
  <c r="A217" i="40" l="1"/>
  <c r="A218" i="40" l="1"/>
  <c r="A219" i="40" l="1"/>
  <c r="A220" i="40" l="1"/>
  <c r="A221" i="40" l="1"/>
  <c r="A222" i="40" l="1"/>
  <c r="A223" i="40" l="1"/>
  <c r="A224" i="40" l="1"/>
  <c r="A225" i="40" l="1"/>
  <c r="A226" i="40" l="1"/>
  <c r="A227" i="40" l="1"/>
  <c r="A228" i="40" l="1"/>
  <c r="A229" i="40" l="1"/>
  <c r="A230" i="40" l="1"/>
  <c r="A231" i="40" l="1"/>
  <c r="A232" i="40" l="1"/>
  <c r="A233" i="40" l="1"/>
  <c r="A234" i="40" l="1"/>
  <c r="A235" i="40" l="1"/>
  <c r="A236" i="40" l="1"/>
  <c r="A237" i="40" l="1"/>
  <c r="A238" i="40" l="1"/>
  <c r="A239" i="40" l="1"/>
  <c r="A240" i="40" l="1"/>
  <c r="A241" i="40" l="1"/>
  <c r="A242" i="40" l="1"/>
  <c r="A243" i="40" l="1"/>
  <c r="A244" i="40" l="1"/>
  <c r="A245" i="40" l="1"/>
  <c r="A246" i="40" l="1"/>
  <c r="A247" i="40" l="1"/>
  <c r="A248" i="40" l="1"/>
  <c r="A249" i="40" l="1"/>
  <c r="Y249" i="40" s="1"/>
  <c r="Z2" i="40" s="1"/>
  <c r="A250" i="40" l="1"/>
  <c r="A251" i="40" l="1"/>
  <c r="A252" i="40" l="1"/>
  <c r="A253" i="40" l="1"/>
  <c r="A254" i="40" l="1"/>
  <c r="A255" i="40" l="1"/>
  <c r="A256" i="40" l="1"/>
  <c r="A257" i="40" l="1"/>
  <c r="A258" i="40" l="1"/>
  <c r="A259" i="40" l="1"/>
  <c r="A260" i="40" l="1"/>
  <c r="A261" i="40" l="1"/>
  <c r="A262" i="40" l="1"/>
  <c r="A263" i="40" l="1"/>
  <c r="A264" i="40" l="1"/>
  <c r="A265" i="40" l="1"/>
  <c r="A266" i="40" l="1"/>
  <c r="A267" i="40" l="1"/>
  <c r="A268" i="40" l="1"/>
  <c r="A269" i="40" l="1"/>
  <c r="A270" i="40" l="1"/>
  <c r="A271" i="40" l="1"/>
  <c r="A272" i="40" l="1"/>
  <c r="A273" i="40" l="1"/>
  <c r="A274" i="40" l="1"/>
  <c r="A275" i="40" l="1"/>
  <c r="A276" i="40" l="1"/>
  <c r="A277" i="40" l="1"/>
  <c r="A278" i="40" l="1"/>
  <c r="A279" i="40" l="1"/>
  <c r="A280" i="40" l="1"/>
  <c r="A281" i="40" l="1"/>
  <c r="A282" i="40" l="1"/>
  <c r="A283" i="40" l="1"/>
  <c r="A284" i="40" l="1"/>
  <c r="A285" i="40" l="1"/>
  <c r="A286" i="40" l="1"/>
  <c r="A287" i="40" l="1"/>
  <c r="A288" i="40" l="1"/>
  <c r="A289" i="40" l="1"/>
  <c r="A290" i="40" l="1"/>
  <c r="A291" i="40" l="1"/>
  <c r="A292" i="40" l="1"/>
  <c r="A293" i="40" l="1"/>
  <c r="A294" i="40" l="1"/>
  <c r="A295" i="40" l="1"/>
  <c r="A296" i="40" l="1"/>
  <c r="A297" i="40" l="1"/>
  <c r="A298" i="40" l="1"/>
  <c r="A299" i="40" l="1"/>
  <c r="A300" i="40" l="1"/>
  <c r="A301" i="40" l="1"/>
  <c r="A302" i="40" l="1"/>
  <c r="A303" i="40" l="1"/>
  <c r="A304" i="40" l="1"/>
  <c r="A305" i="40" l="1"/>
  <c r="A306" i="40" l="1"/>
  <c r="A307" i="40" l="1"/>
  <c r="A308" i="40" l="1"/>
  <c r="A309" i="40" l="1"/>
  <c r="A310" i="40" l="1"/>
  <c r="A311" i="40" l="1"/>
  <c r="A312" i="40" l="1"/>
  <c r="A313" i="40" l="1"/>
  <c r="A314" i="40" l="1"/>
  <c r="A315" i="40" l="1"/>
  <c r="A316" i="40" l="1"/>
  <c r="A317" i="40" l="1"/>
  <c r="A318" i="40" l="1"/>
  <c r="A319" i="40" l="1"/>
  <c r="A320" i="40" l="1"/>
  <c r="A321" i="40" l="1"/>
  <c r="A322" i="40" l="1"/>
  <c r="A323" i="40" l="1"/>
  <c r="A324" i="40" l="1"/>
  <c r="A325" i="40" l="1"/>
  <c r="A326" i="40" l="1"/>
  <c r="A327" i="40" l="1"/>
  <c r="A328" i="40" l="1"/>
  <c r="A329" i="40" l="1"/>
  <c r="A330" i="40" l="1"/>
  <c r="A331" i="40" l="1"/>
  <c r="A332" i="40" l="1"/>
  <c r="A333" i="40" l="1"/>
  <c r="A334" i="40" l="1"/>
  <c r="A335" i="40" l="1"/>
  <c r="A336" i="40" l="1"/>
  <c r="A337" i="40" l="1"/>
  <c r="A338" i="40" l="1"/>
  <c r="A339" i="40" l="1"/>
  <c r="A340" i="40" l="1"/>
  <c r="A341" i="40" l="1"/>
  <c r="A342" i="40" l="1"/>
  <c r="A343" i="40" l="1"/>
  <c r="A344" i="40" l="1"/>
  <c r="A345" i="40" l="1"/>
  <c r="A346" i="40" l="1"/>
  <c r="A347" i="40" l="1"/>
  <c r="A348" i="40" l="1"/>
  <c r="A349" i="40" l="1"/>
  <c r="A350" i="40" l="1"/>
  <c r="A351" i="40" l="1"/>
  <c r="A352" i="40" l="1"/>
  <c r="A353" i="40" l="1"/>
  <c r="A354" i="40" l="1"/>
  <c r="A355" i="40" l="1"/>
  <c r="A356" i="40" l="1"/>
  <c r="A357" i="40" l="1"/>
  <c r="A358" i="40" l="1"/>
  <c r="A359" i="40" l="1"/>
  <c r="A360" i="40" l="1"/>
  <c r="A361" i="40" l="1"/>
  <c r="A362" i="40" l="1"/>
  <c r="A363" i="40" l="1"/>
  <c r="A364" i="40" l="1"/>
  <c r="A365" i="40" l="1"/>
  <c r="A366" i="40" l="1"/>
  <c r="A367" i="40" l="1"/>
  <c r="A368" i="40" l="1"/>
  <c r="A369" i="40" l="1"/>
  <c r="A370" i="40" l="1"/>
  <c r="A371" i="40" l="1"/>
  <c r="A372" i="40" l="1"/>
  <c r="A373" i="40" l="1"/>
  <c r="A374" i="40" l="1"/>
  <c r="A375" i="40" l="1"/>
  <c r="A376" i="40" l="1"/>
  <c r="A377" i="40" l="1"/>
  <c r="A378" i="40" l="1"/>
  <c r="A379" i="40" l="1"/>
  <c r="A380" i="40" l="1"/>
  <c r="A381" i="40" l="1"/>
  <c r="A382" i="40" l="1"/>
  <c r="A383" i="40" l="1"/>
  <c r="A384" i="40" l="1"/>
  <c r="A385" i="40" l="1"/>
  <c r="A386" i="40" l="1"/>
  <c r="A387" i="40" l="1"/>
  <c r="A388" i="40" l="1"/>
  <c r="A389" i="40" l="1"/>
  <c r="A390" i="40" l="1"/>
  <c r="A391" i="40" l="1"/>
  <c r="A392" i="40" l="1"/>
  <c r="A393" i="40" l="1"/>
  <c r="A394" i="40" l="1"/>
  <c r="A395" i="40" l="1"/>
  <c r="A396" i="40" l="1"/>
  <c r="A397" i="40" l="1"/>
  <c r="A398" i="40" l="1"/>
  <c r="A399" i="40" l="1"/>
  <c r="A400" i="40" l="1"/>
  <c r="A401" i="40" l="1"/>
  <c r="A402" i="40" l="1"/>
  <c r="A403" i="40" l="1"/>
  <c r="A404" i="40" l="1"/>
  <c r="A405" i="40" l="1"/>
  <c r="A406" i="40" l="1"/>
  <c r="A407" i="40" l="1"/>
  <c r="A408" i="40" l="1"/>
  <c r="A409" i="40" l="1"/>
  <c r="A410" i="40" l="1"/>
  <c r="A411" i="40" l="1"/>
  <c r="A412" i="40" l="1"/>
  <c r="A413" i="40" l="1"/>
  <c r="A414" i="40" l="1"/>
  <c r="A415" i="40" l="1"/>
  <c r="A416" i="40" l="1"/>
  <c r="A417" i="40" l="1"/>
  <c r="A418" i="40" l="1"/>
  <c r="A419" i="40" l="1"/>
  <c r="A420" i="40" l="1"/>
  <c r="A421" i="40" l="1"/>
  <c r="A422" i="40" l="1"/>
  <c r="C4" i="34"/>
  <c r="C5" i="34"/>
  <c r="F2" i="34"/>
  <c r="A423" i="40" l="1"/>
  <c r="G10" i="34"/>
  <c r="F10" i="34"/>
  <c r="H10" i="34"/>
  <c r="I11" i="34"/>
  <c r="F8" i="34"/>
  <c r="A424" i="40" l="1"/>
  <c r="F9" i="34"/>
  <c r="A425" i="40" l="1"/>
  <c r="F7" i="34"/>
  <c r="A426" i="40" l="1"/>
  <c r="J12" i="34"/>
  <c r="J11" i="34"/>
  <c r="J10" i="34"/>
  <c r="J9" i="34"/>
  <c r="J8" i="34"/>
  <c r="J7" i="34"/>
  <c r="J6" i="34"/>
  <c r="J5" i="34"/>
  <c r="A427" i="40" l="1"/>
  <c r="A428" i="40" l="1"/>
  <c r="I10" i="34"/>
  <c r="A429" i="40" l="1"/>
  <c r="I9" i="34"/>
  <c r="H9" i="34"/>
  <c r="G9" i="34"/>
  <c r="A430" i="40" l="1"/>
  <c r="I12" i="34"/>
  <c r="I8" i="34"/>
  <c r="I7" i="34"/>
  <c r="I6" i="34"/>
  <c r="I5" i="34"/>
  <c r="H12" i="34"/>
  <c r="H11" i="34"/>
  <c r="H8" i="34"/>
  <c r="H7" i="34"/>
  <c r="H6" i="34"/>
  <c r="H5" i="34"/>
  <c r="G12" i="34"/>
  <c r="G11" i="34"/>
  <c r="G8" i="34"/>
  <c r="G7" i="34"/>
  <c r="G6" i="34"/>
  <c r="G5" i="34"/>
  <c r="F11" i="34"/>
  <c r="F6" i="34"/>
  <c r="F5" i="34"/>
  <c r="F12" i="34"/>
  <c r="C6" i="34"/>
  <c r="A431" i="40" l="1"/>
  <c r="A432" i="40" l="1"/>
  <c r="B11" i="40" l="1"/>
  <c r="B10" i="40"/>
  <c r="B9" i="40"/>
  <c r="A433" i="40"/>
  <c r="A434" i="40" l="1"/>
  <c r="B12" i="40"/>
  <c r="A435" i="40" l="1"/>
  <c r="B13" i="40"/>
  <c r="B14" i="40" l="1"/>
  <c r="A436" i="40"/>
  <c r="B15" i="40" l="1"/>
  <c r="A437" i="40"/>
  <c r="A438" i="40" l="1"/>
  <c r="B16" i="40"/>
  <c r="A439" i="40" l="1"/>
  <c r="B17" i="40"/>
  <c r="A440" i="40" l="1"/>
  <c r="B18" i="40"/>
  <c r="A441" i="40" l="1"/>
  <c r="B19" i="40"/>
  <c r="A442" i="40" l="1"/>
  <c r="B20" i="40"/>
  <c r="A443" i="40" l="1"/>
  <c r="B21" i="40"/>
  <c r="A444" i="40" l="1"/>
  <c r="B22" i="40"/>
  <c r="A445" i="40" l="1"/>
  <c r="B23" i="40"/>
  <c r="A446" i="40" l="1"/>
  <c r="B24" i="40"/>
  <c r="A447" i="40" l="1"/>
  <c r="B25" i="40"/>
  <c r="A448" i="40" l="1"/>
  <c r="B26" i="40"/>
  <c r="A449" i="40" l="1"/>
  <c r="B27" i="40"/>
  <c r="A450" i="40" l="1"/>
  <c r="B28" i="40"/>
  <c r="A451" i="40" l="1"/>
  <c r="B29" i="40"/>
  <c r="A452" i="40" l="1"/>
  <c r="B30" i="40"/>
  <c r="A453" i="40" l="1"/>
  <c r="B31" i="40"/>
  <c r="A454" i="40" l="1"/>
  <c r="B32" i="40"/>
  <c r="A455" i="40" l="1"/>
  <c r="B33" i="40"/>
  <c r="A456" i="40" l="1"/>
  <c r="B34" i="40"/>
  <c r="A457" i="40" l="1"/>
  <c r="B35" i="40"/>
  <c r="A458" i="40" l="1"/>
  <c r="B36" i="40"/>
  <c r="A459" i="40" l="1"/>
  <c r="B37" i="40"/>
  <c r="A460" i="40" l="1"/>
  <c r="B38" i="40"/>
  <c r="A461" i="40" l="1"/>
  <c r="B39" i="40"/>
  <c r="A462" i="40" l="1"/>
  <c r="B40" i="40"/>
  <c r="A463" i="40" l="1"/>
  <c r="B41" i="40"/>
  <c r="A464" i="40" l="1"/>
  <c r="B42" i="40"/>
  <c r="A465" i="40" l="1"/>
  <c r="B43" i="40"/>
  <c r="A466" i="40" l="1"/>
  <c r="B44" i="40"/>
  <c r="A467" i="40" l="1"/>
  <c r="B45" i="40"/>
  <c r="A468" i="40" l="1"/>
  <c r="B46" i="40"/>
  <c r="A469" i="40" l="1"/>
  <c r="B47" i="40"/>
  <c r="A470" i="40" l="1"/>
  <c r="B48" i="40"/>
  <c r="A471" i="40" l="1"/>
  <c r="B49" i="40"/>
  <c r="A472" i="40" l="1"/>
  <c r="B50" i="40"/>
  <c r="A473" i="40" l="1"/>
  <c r="B51" i="40"/>
  <c r="A474" i="40" l="1"/>
  <c r="B52" i="40"/>
  <c r="A475" i="40" l="1"/>
  <c r="B53" i="40"/>
  <c r="A476" i="40" l="1"/>
  <c r="B54" i="40"/>
  <c r="A477" i="40" l="1"/>
  <c r="B55" i="40"/>
  <c r="A478" i="40" l="1"/>
  <c r="B56" i="40"/>
  <c r="A479" i="40" l="1"/>
  <c r="B57" i="40"/>
  <c r="A480" i="40" l="1"/>
  <c r="B58" i="40"/>
  <c r="A481" i="40" l="1"/>
  <c r="B59" i="40"/>
  <c r="A482" i="40" l="1"/>
  <c r="B60" i="40"/>
  <c r="A483" i="40" l="1"/>
  <c r="B61" i="40"/>
  <c r="A484" i="40" l="1"/>
  <c r="B62" i="40"/>
  <c r="A485" i="40" l="1"/>
  <c r="B63" i="40"/>
  <c r="A486" i="40" l="1"/>
  <c r="B64" i="40"/>
  <c r="A487" i="40" l="1"/>
  <c r="B65" i="40"/>
  <c r="A488" i="40" l="1"/>
  <c r="B66" i="40"/>
  <c r="A489" i="40" l="1"/>
  <c r="B67" i="40"/>
  <c r="A490" i="40" l="1"/>
  <c r="B68" i="40"/>
  <c r="A491" i="40" l="1"/>
  <c r="B69" i="40"/>
  <c r="A492" i="40" l="1"/>
  <c r="B70" i="40"/>
  <c r="A493" i="40" l="1"/>
  <c r="B71" i="40"/>
  <c r="A494" i="40" l="1"/>
  <c r="B72" i="40"/>
  <c r="A495" i="40" l="1"/>
  <c r="B73" i="40"/>
  <c r="A496" i="40" l="1"/>
  <c r="B74" i="40"/>
  <c r="A497" i="40" l="1"/>
  <c r="B75" i="40"/>
  <c r="A498" i="40" l="1"/>
  <c r="B76" i="40"/>
  <c r="A499" i="40" l="1"/>
  <c r="B77" i="40"/>
  <c r="A500" i="40" l="1"/>
  <c r="B78" i="40"/>
  <c r="A501" i="40" l="1"/>
  <c r="B79" i="40"/>
  <c r="A502" i="40" l="1"/>
  <c r="B80" i="40"/>
  <c r="A503" i="40" l="1"/>
  <c r="B81" i="40"/>
  <c r="A504" i="40" l="1"/>
  <c r="B82" i="40"/>
  <c r="A505" i="40" l="1"/>
  <c r="B83" i="40"/>
  <c r="A506" i="40" l="1"/>
  <c r="B84" i="40"/>
  <c r="A507" i="40" l="1"/>
  <c r="B85" i="40"/>
  <c r="A508" i="40" l="1"/>
  <c r="B86" i="40"/>
  <c r="A509" i="40" l="1"/>
  <c r="B87" i="40"/>
  <c r="A510" i="40" l="1"/>
  <c r="B88" i="40"/>
  <c r="A511" i="40" l="1"/>
  <c r="B89" i="40"/>
  <c r="A512" i="40" l="1"/>
  <c r="B90" i="40"/>
  <c r="A513" i="40" l="1"/>
  <c r="B91" i="40"/>
  <c r="A514" i="40" l="1"/>
  <c r="B92" i="40"/>
  <c r="A515" i="40" l="1"/>
  <c r="B93" i="40"/>
  <c r="A516" i="40" l="1"/>
  <c r="B94" i="40"/>
  <c r="A517" i="40" l="1"/>
  <c r="B95" i="40"/>
  <c r="A518" i="40" l="1"/>
  <c r="B96" i="40"/>
  <c r="A519" i="40" l="1"/>
  <c r="B97" i="40"/>
  <c r="A520" i="40" l="1"/>
  <c r="B98" i="40"/>
  <c r="A521" i="40" l="1"/>
  <c r="B99" i="40"/>
  <c r="A522" i="40" l="1"/>
  <c r="B100" i="40"/>
  <c r="A523" i="40" l="1"/>
  <c r="B101" i="40"/>
  <c r="A524" i="40" l="1"/>
  <c r="B102" i="40"/>
  <c r="A525" i="40" l="1"/>
  <c r="B103" i="40"/>
  <c r="A526" i="40" l="1"/>
  <c r="B104" i="40"/>
  <c r="A527" i="40" l="1"/>
  <c r="B105" i="40"/>
  <c r="A528" i="40" l="1"/>
  <c r="B106" i="40"/>
  <c r="A529" i="40" l="1"/>
  <c r="B107" i="40"/>
  <c r="A530" i="40" l="1"/>
  <c r="B108" i="40"/>
  <c r="A531" i="40" l="1"/>
  <c r="B109" i="40"/>
  <c r="A532" i="40" l="1"/>
  <c r="B110" i="40"/>
  <c r="A533" i="40" l="1"/>
  <c r="B111" i="40"/>
  <c r="A534" i="40" l="1"/>
  <c r="B112" i="40"/>
  <c r="A535" i="40" l="1"/>
  <c r="B113" i="40"/>
  <c r="A536" i="40" l="1"/>
  <c r="B114" i="40"/>
  <c r="A537" i="40" l="1"/>
  <c r="B115" i="40"/>
  <c r="A538" i="40" l="1"/>
  <c r="B116" i="40"/>
  <c r="A539" i="40" l="1"/>
  <c r="B117" i="40"/>
  <c r="A540" i="40" l="1"/>
  <c r="B118" i="40"/>
  <c r="A541" i="40" l="1"/>
  <c r="B119" i="40"/>
  <c r="A542" i="40" l="1"/>
  <c r="B120" i="40"/>
  <c r="A543" i="40" l="1"/>
  <c r="B121" i="40"/>
  <c r="A544" i="40" l="1"/>
  <c r="B122" i="40"/>
  <c r="A545" i="40" l="1"/>
  <c r="B123" i="40"/>
  <c r="A546" i="40" l="1"/>
  <c r="B124" i="40"/>
  <c r="A547" i="40" l="1"/>
  <c r="B125" i="40"/>
  <c r="A548" i="40" l="1"/>
  <c r="B126" i="40"/>
  <c r="A549" i="40" l="1"/>
  <c r="B127" i="40"/>
  <c r="A550" i="40" l="1"/>
  <c r="B128" i="40"/>
  <c r="A551" i="40" l="1"/>
  <c r="B129" i="40"/>
  <c r="A552" i="40" l="1"/>
  <c r="B130" i="40"/>
  <c r="A553" i="40" l="1"/>
  <c r="B131" i="40"/>
  <c r="A554" i="40" l="1"/>
  <c r="B132" i="40"/>
  <c r="A555" i="40" l="1"/>
  <c r="B133" i="40"/>
  <c r="A556" i="40" l="1"/>
  <c r="B134" i="40"/>
  <c r="A557" i="40" l="1"/>
  <c r="B135" i="40"/>
  <c r="A558" i="40" l="1"/>
  <c r="B136" i="40"/>
  <c r="A559" i="40" l="1"/>
  <c r="B137" i="40"/>
  <c r="A560" i="40" l="1"/>
  <c r="B138" i="40"/>
  <c r="A561" i="40" l="1"/>
  <c r="B139" i="40"/>
  <c r="A562" i="40" l="1"/>
  <c r="B140" i="40"/>
  <c r="A563" i="40" l="1"/>
  <c r="B141" i="40"/>
  <c r="A564" i="40" l="1"/>
  <c r="B142" i="40"/>
  <c r="A565" i="40" l="1"/>
  <c r="B143" i="40"/>
  <c r="A566" i="40" l="1"/>
  <c r="B144" i="40"/>
  <c r="A567" i="40" l="1"/>
  <c r="B145" i="40"/>
  <c r="A568" i="40" l="1"/>
  <c r="B146" i="40"/>
  <c r="A569" i="40" l="1"/>
  <c r="B147" i="40"/>
  <c r="A570" i="40" l="1"/>
  <c r="B148" i="40"/>
  <c r="B149" i="40" l="1"/>
  <c r="A571" i="40"/>
  <c r="A572" i="40" l="1"/>
  <c r="B150" i="40"/>
  <c r="A573" i="40" l="1"/>
  <c r="B151" i="40"/>
  <c r="A574" i="40" l="1"/>
  <c r="B152" i="40"/>
  <c r="A575" i="40" l="1"/>
  <c r="B153" i="40"/>
  <c r="A576" i="40" l="1"/>
  <c r="B154" i="40"/>
  <c r="A577" i="40" l="1"/>
  <c r="B155" i="40"/>
  <c r="A578" i="40" l="1"/>
  <c r="B156" i="40"/>
  <c r="A579" i="40" l="1"/>
  <c r="B157" i="40"/>
  <c r="A580" i="40" l="1"/>
  <c r="B158" i="40"/>
  <c r="A581" i="40" l="1"/>
  <c r="B159" i="40"/>
  <c r="A582" i="40" l="1"/>
  <c r="B160" i="40"/>
  <c r="A583" i="40" l="1"/>
  <c r="B161" i="40"/>
  <c r="A584" i="40" l="1"/>
  <c r="B162" i="40"/>
  <c r="A585" i="40" l="1"/>
  <c r="B163" i="40"/>
  <c r="A586" i="40" l="1"/>
  <c r="B164" i="40"/>
  <c r="A587" i="40" l="1"/>
  <c r="B165" i="40"/>
  <c r="A588" i="40" l="1"/>
  <c r="B166" i="40"/>
  <c r="A589" i="40" l="1"/>
  <c r="B167" i="40"/>
  <c r="A590" i="40" l="1"/>
  <c r="B168" i="40"/>
  <c r="A591" i="40" l="1"/>
  <c r="B169" i="40"/>
  <c r="A592" i="40" l="1"/>
  <c r="B170" i="40"/>
  <c r="A593" i="40" l="1"/>
  <c r="B171" i="40"/>
  <c r="A594" i="40" l="1"/>
  <c r="B172" i="40"/>
  <c r="A595" i="40" l="1"/>
  <c r="B173" i="40"/>
  <c r="A596" i="40" l="1"/>
  <c r="B174" i="40"/>
  <c r="A597" i="40" l="1"/>
  <c r="B175" i="40"/>
  <c r="A598" i="40" l="1"/>
  <c r="B176" i="40"/>
  <c r="A599" i="40" l="1"/>
  <c r="B177" i="40"/>
  <c r="A600" i="40" l="1"/>
  <c r="B178" i="40"/>
  <c r="A601" i="40" l="1"/>
  <c r="B179" i="40"/>
  <c r="A602" i="40" l="1"/>
  <c r="B180" i="40"/>
  <c r="A603" i="40" l="1"/>
  <c r="B181" i="40"/>
  <c r="A604" i="40" l="1"/>
  <c r="B182" i="40"/>
  <c r="A605" i="40" l="1"/>
  <c r="B183" i="40"/>
  <c r="A606" i="40" l="1"/>
  <c r="B184" i="40"/>
  <c r="A607" i="40" l="1"/>
  <c r="B185" i="40"/>
  <c r="A608" i="40" l="1"/>
  <c r="B186" i="40"/>
  <c r="A609" i="40" l="1"/>
  <c r="B187" i="40"/>
  <c r="A610" i="40" l="1"/>
  <c r="B188" i="40"/>
  <c r="A611" i="40" l="1"/>
  <c r="B189" i="40"/>
  <c r="A612" i="40" l="1"/>
  <c r="B190" i="40"/>
  <c r="A613" i="40" l="1"/>
  <c r="B191" i="40"/>
  <c r="A614" i="40" l="1"/>
  <c r="B192" i="40"/>
  <c r="A615" i="40" l="1"/>
  <c r="B193" i="40"/>
  <c r="A616" i="40" l="1"/>
  <c r="B194" i="40"/>
  <c r="A617" i="40" l="1"/>
  <c r="B195" i="40"/>
  <c r="A618" i="40" l="1"/>
  <c r="B196" i="40"/>
  <c r="A619" i="40" l="1"/>
  <c r="B197" i="40"/>
  <c r="A620" i="40" l="1"/>
  <c r="B198" i="40"/>
  <c r="A621" i="40" l="1"/>
  <c r="B199" i="40"/>
  <c r="A622" i="40" l="1"/>
  <c r="B200" i="40"/>
  <c r="A623" i="40" l="1"/>
  <c r="B201" i="40"/>
  <c r="A624" i="40" l="1"/>
  <c r="B202" i="40"/>
  <c r="A625" i="40" l="1"/>
  <c r="B203" i="40"/>
  <c r="A626" i="40" l="1"/>
  <c r="B204" i="40"/>
  <c r="A627" i="40" l="1"/>
  <c r="B205" i="40"/>
  <c r="A628" i="40" l="1"/>
  <c r="B206" i="40"/>
  <c r="A629" i="40" l="1"/>
  <c r="B207" i="40"/>
  <c r="A630" i="40" l="1"/>
  <c r="B208" i="40"/>
  <c r="A631" i="40" l="1"/>
  <c r="B209" i="40"/>
  <c r="A632" i="40" l="1"/>
  <c r="B210" i="40"/>
  <c r="A633" i="40" l="1"/>
  <c r="B211" i="40"/>
  <c r="A634" i="40" l="1"/>
  <c r="B212" i="40"/>
  <c r="A635" i="40" l="1"/>
  <c r="B213" i="40"/>
  <c r="A636" i="40" l="1"/>
  <c r="B214" i="40"/>
  <c r="A637" i="40" l="1"/>
  <c r="B215" i="40"/>
  <c r="A638" i="40" l="1"/>
  <c r="B216" i="40"/>
  <c r="A639" i="40" l="1"/>
  <c r="B217" i="40"/>
  <c r="A640" i="40" l="1"/>
  <c r="B218" i="40"/>
  <c r="A641" i="40" l="1"/>
  <c r="B219" i="40"/>
  <c r="A642" i="40" l="1"/>
  <c r="B220" i="40"/>
  <c r="A643" i="40" l="1"/>
  <c r="B221" i="40"/>
  <c r="A644" i="40" l="1"/>
  <c r="B222" i="40"/>
  <c r="A645" i="40" l="1"/>
  <c r="B223" i="40"/>
  <c r="A646" i="40" l="1"/>
  <c r="B224" i="40"/>
  <c r="A647" i="40" l="1"/>
  <c r="B225" i="40"/>
  <c r="A648" i="40" l="1"/>
  <c r="B226" i="40"/>
  <c r="H4" i="34" l="1"/>
  <c r="H13" i="34" s="1"/>
  <c r="A649" i="40"/>
  <c r="B227" i="40"/>
  <c r="A650" i="40" l="1"/>
  <c r="B228" i="40"/>
  <c r="A651" i="40" l="1"/>
  <c r="B229" i="40"/>
  <c r="A652" i="40" l="1"/>
  <c r="B230" i="40"/>
  <c r="A653" i="40" l="1"/>
  <c r="B231" i="40"/>
  <c r="A654" i="40" l="1"/>
  <c r="B232" i="40"/>
  <c r="A655" i="40" l="1"/>
  <c r="B233" i="40"/>
  <c r="A656" i="40" l="1"/>
  <c r="B234" i="40"/>
  <c r="B235" i="40" l="1"/>
  <c r="A657" i="40"/>
  <c r="B236" i="40" l="1"/>
  <c r="A658" i="40"/>
  <c r="B237" i="40" l="1"/>
  <c r="A659" i="40"/>
  <c r="B238" i="40" l="1"/>
  <c r="A660" i="40"/>
  <c r="A661" i="40" l="1"/>
  <c r="B239" i="40"/>
  <c r="B240" i="40" l="1"/>
  <c r="A662" i="40"/>
  <c r="B241" i="40" l="1"/>
  <c r="A663" i="40"/>
  <c r="B242" i="40" l="1"/>
  <c r="A664" i="40"/>
  <c r="B243" i="40" l="1"/>
  <c r="A665" i="40"/>
  <c r="B244" i="40" l="1"/>
  <c r="A666" i="40"/>
  <c r="B245" i="40" l="1"/>
  <c r="A667" i="40"/>
  <c r="B246" i="40" l="1"/>
  <c r="A668" i="40"/>
  <c r="A669" i="40" l="1"/>
  <c r="B247" i="40"/>
  <c r="B248" i="40" l="1"/>
  <c r="A670" i="40"/>
  <c r="B249" i="40" l="1"/>
  <c r="A671" i="40"/>
  <c r="B250" i="40" l="1"/>
  <c r="A672" i="40"/>
  <c r="A673" i="40" l="1"/>
  <c r="B251" i="40"/>
  <c r="B252" i="40" l="1"/>
  <c r="A674" i="40"/>
  <c r="B253" i="40" l="1"/>
  <c r="A675" i="40"/>
  <c r="B254" i="40" l="1"/>
  <c r="A676" i="40"/>
  <c r="B255" i="40" l="1"/>
  <c r="A677" i="40"/>
  <c r="A678" i="40" l="1"/>
  <c r="B256" i="40"/>
  <c r="B257" i="40" l="1"/>
  <c r="A679" i="40"/>
  <c r="B258" i="40" l="1"/>
  <c r="A680" i="40"/>
  <c r="A681" i="40" l="1"/>
  <c r="B259" i="40"/>
  <c r="B260" i="40" l="1"/>
  <c r="A682" i="40"/>
  <c r="B261" i="40" l="1"/>
  <c r="A683" i="40"/>
  <c r="B262" i="40" l="1"/>
  <c r="A684" i="40"/>
  <c r="B263" i="40" l="1"/>
  <c r="A685" i="40"/>
  <c r="A686" i="40" l="1"/>
  <c r="B264" i="40"/>
  <c r="A687" i="40" l="1"/>
  <c r="B265" i="40"/>
  <c r="A688" i="40" l="1"/>
  <c r="B266" i="40"/>
  <c r="A689" i="40" l="1"/>
  <c r="B267" i="40"/>
  <c r="A690" i="40" l="1"/>
  <c r="B268" i="40"/>
  <c r="A691" i="40" l="1"/>
  <c r="B269" i="40"/>
  <c r="A692" i="40" l="1"/>
  <c r="B270" i="40"/>
  <c r="A693" i="40" l="1"/>
  <c r="B271" i="40"/>
  <c r="A694" i="40" l="1"/>
  <c r="B272" i="40"/>
  <c r="A695" i="40" l="1"/>
  <c r="B273" i="40"/>
  <c r="A696" i="40" l="1"/>
  <c r="B274" i="40"/>
  <c r="A697" i="40" l="1"/>
  <c r="B275" i="40"/>
  <c r="A698" i="40" l="1"/>
  <c r="B276" i="40"/>
  <c r="A699" i="40" l="1"/>
  <c r="B277" i="40"/>
  <c r="A700" i="40" l="1"/>
  <c r="B278" i="40"/>
  <c r="A701" i="40" l="1"/>
  <c r="B279" i="40"/>
  <c r="B280" i="40" l="1"/>
  <c r="A702" i="40"/>
  <c r="A703" i="40" l="1"/>
  <c r="B281" i="40"/>
  <c r="A704" i="40" l="1"/>
  <c r="B282" i="40"/>
  <c r="A705" i="40" l="1"/>
  <c r="B283" i="40"/>
  <c r="A706" i="40" l="1"/>
  <c r="B284" i="40"/>
  <c r="A707" i="40" l="1"/>
  <c r="B285" i="40"/>
  <c r="A708" i="40" l="1"/>
  <c r="B286" i="40"/>
  <c r="A709" i="40" l="1"/>
  <c r="B287" i="40"/>
  <c r="B288" i="40" l="1"/>
  <c r="A710" i="40"/>
  <c r="A711" i="40" l="1"/>
  <c r="B289" i="40"/>
  <c r="B290" i="40" l="1"/>
  <c r="A712" i="40"/>
  <c r="A713" i="40" l="1"/>
  <c r="B291" i="40"/>
  <c r="B292" i="40" l="1"/>
  <c r="A714" i="40"/>
  <c r="A715" i="40" l="1"/>
  <c r="B293" i="40"/>
  <c r="B294" i="40" l="1"/>
  <c r="A716" i="40"/>
  <c r="B295" i="40" l="1"/>
  <c r="A717" i="40"/>
  <c r="B296" i="40" l="1"/>
  <c r="A718" i="40"/>
  <c r="B297" i="40" l="1"/>
  <c r="A719" i="40"/>
  <c r="B298" i="40" l="1"/>
  <c r="A720" i="40"/>
  <c r="B299" i="40" l="1"/>
  <c r="A721" i="40"/>
  <c r="A722" i="40" l="1"/>
  <c r="B300" i="40"/>
  <c r="A723" i="40" l="1"/>
  <c r="B301" i="40"/>
  <c r="A724" i="40" l="1"/>
  <c r="B302" i="40"/>
  <c r="A725" i="40" l="1"/>
  <c r="B303" i="40"/>
  <c r="B304" i="40" l="1"/>
  <c r="A726" i="40"/>
  <c r="B305" i="40" l="1"/>
  <c r="A727" i="40"/>
  <c r="B306" i="40" l="1"/>
  <c r="A728" i="40"/>
  <c r="B307" i="40" l="1"/>
  <c r="A729" i="40"/>
  <c r="I4" i="34"/>
  <c r="I13" i="34" s="1"/>
  <c r="G4" i="34"/>
  <c r="G13" i="34" s="1"/>
  <c r="A730" i="40" l="1"/>
  <c r="B308" i="40"/>
  <c r="B309" i="40" l="1"/>
  <c r="A731" i="40"/>
  <c r="A732" i="40" l="1"/>
  <c r="B310" i="40"/>
  <c r="B311" i="40" l="1"/>
  <c r="A733" i="40"/>
  <c r="A734" i="40" l="1"/>
  <c r="B312" i="40"/>
  <c r="B313" i="40" l="1"/>
  <c r="A735" i="40"/>
  <c r="B314" i="40" l="1"/>
  <c r="A736" i="40"/>
  <c r="A737" i="40" l="1"/>
  <c r="B315" i="40"/>
  <c r="B316" i="40" l="1"/>
  <c r="A738" i="40"/>
  <c r="B317" i="40" l="1"/>
  <c r="A739" i="40"/>
  <c r="A740" i="40" l="1"/>
  <c r="B318" i="40"/>
  <c r="B319" i="40" l="1"/>
  <c r="A741" i="40"/>
  <c r="B320" i="40" l="1"/>
  <c r="A742" i="40"/>
  <c r="A743" i="40" l="1"/>
  <c r="B321" i="40"/>
  <c r="B322" i="40" l="1"/>
  <c r="A744" i="40"/>
  <c r="A745" i="40" l="1"/>
  <c r="B323" i="40"/>
  <c r="B324" i="40" l="1"/>
  <c r="A746" i="40"/>
  <c r="A747" i="40" l="1"/>
  <c r="B325" i="40"/>
  <c r="B326" i="40" l="1"/>
  <c r="A748" i="40"/>
  <c r="A749" i="40" l="1"/>
  <c r="B327" i="40"/>
  <c r="B328" i="40" l="1"/>
  <c r="A751" i="40"/>
  <c r="A750" i="40"/>
  <c r="B329" i="40" l="1"/>
  <c r="B330" i="40" l="1"/>
  <c r="B331" i="40" l="1"/>
  <c r="B332" i="40" l="1"/>
  <c r="B333" i="40" l="1"/>
  <c r="B334" i="40" l="1"/>
  <c r="B335" i="40" l="1"/>
  <c r="B336" i="40" l="1"/>
  <c r="B337" i="40" l="1"/>
  <c r="B338" i="40" l="1"/>
  <c r="B339" i="40" l="1"/>
  <c r="B340" i="40" l="1"/>
  <c r="B341" i="40" l="1"/>
  <c r="B342" i="40" l="1"/>
  <c r="B343" i="40" l="1"/>
  <c r="B344" i="40" l="1"/>
  <c r="B345" i="40" l="1"/>
  <c r="B346" i="40" l="1"/>
  <c r="B347" i="40" l="1"/>
  <c r="B348" i="40" l="1"/>
  <c r="B349" i="40" l="1"/>
  <c r="B350" i="40" l="1"/>
  <c r="B351" i="40" l="1"/>
  <c r="B352" i="40" l="1"/>
  <c r="B353" i="40" l="1"/>
  <c r="B354" i="40" l="1"/>
  <c r="B355" i="40" l="1"/>
  <c r="B356" i="40" l="1"/>
  <c r="B357" i="40" l="1"/>
  <c r="B358" i="40" l="1"/>
  <c r="B359" i="40" l="1"/>
  <c r="B360" i="40" l="1"/>
  <c r="B361" i="40" l="1"/>
  <c r="B362" i="40" l="1"/>
  <c r="B363" i="40" l="1"/>
  <c r="B364" i="40" l="1"/>
  <c r="B365" i="40" l="1"/>
  <c r="B366" i="40" l="1"/>
  <c r="B367" i="40" l="1"/>
  <c r="B368" i="40" l="1"/>
  <c r="B369" i="40" l="1"/>
  <c r="B370" i="40" l="1"/>
  <c r="B371" i="40" l="1"/>
  <c r="B372" i="40" l="1"/>
  <c r="B373" i="40" l="1"/>
  <c r="B374" i="40" l="1"/>
  <c r="B375" i="40" l="1"/>
  <c r="B376" i="40" l="1"/>
  <c r="B377" i="40" l="1"/>
  <c r="B378" i="40" l="1"/>
  <c r="B379" i="40" l="1"/>
  <c r="B380" i="40" l="1"/>
  <c r="B381" i="40" l="1"/>
  <c r="B382" i="40" l="1"/>
  <c r="B383" i="40" l="1"/>
  <c r="B384" i="40" l="1"/>
  <c r="B385" i="40" l="1"/>
  <c r="B386" i="40" l="1"/>
  <c r="B387" i="40" l="1"/>
  <c r="B388" i="40" l="1"/>
  <c r="B389" i="40" l="1"/>
  <c r="B390" i="40" l="1"/>
  <c r="B391" i="40" l="1"/>
  <c r="B392" i="40" l="1"/>
  <c r="B393" i="40" l="1"/>
  <c r="B394" i="40" l="1"/>
  <c r="B395" i="40" l="1"/>
  <c r="B396" i="40" l="1"/>
  <c r="B397" i="40" l="1"/>
  <c r="B398" i="40" l="1"/>
  <c r="B399" i="40" l="1"/>
  <c r="B400" i="40" l="1"/>
  <c r="B401" i="40" l="1"/>
  <c r="B402" i="40" l="1"/>
  <c r="B403" i="40" l="1"/>
  <c r="B404" i="40" l="1"/>
  <c r="B405" i="40" l="1"/>
  <c r="B406" i="40" l="1"/>
  <c r="B407" i="40" l="1"/>
  <c r="B408" i="40" l="1"/>
  <c r="B409" i="40" l="1"/>
  <c r="B410" i="40" l="1"/>
  <c r="B411" i="40" l="1"/>
  <c r="B412" i="40" l="1"/>
  <c r="B413" i="40" l="1"/>
  <c r="B414" i="40" l="1"/>
  <c r="B415" i="40" l="1"/>
  <c r="B416" i="40" l="1"/>
  <c r="B417" i="40" l="1"/>
  <c r="B418" i="40" l="1"/>
  <c r="B419" i="40" l="1"/>
  <c r="B420" i="40" l="1"/>
  <c r="B421" i="40" l="1"/>
  <c r="B422" i="40" l="1"/>
  <c r="B423" i="40" l="1"/>
  <c r="B424" i="40" l="1"/>
  <c r="B425" i="40" l="1"/>
  <c r="B426" i="40" l="1"/>
  <c r="B427" i="40" l="1"/>
  <c r="B428" i="40" l="1"/>
  <c r="B429" i="40" l="1"/>
  <c r="B430" i="40" l="1"/>
  <c r="B431" i="40" l="1"/>
  <c r="B432" i="40" l="1"/>
  <c r="B433" i="40" l="1"/>
  <c r="B434" i="40" l="1"/>
  <c r="B435" i="40" l="1"/>
  <c r="B436" i="40" l="1"/>
  <c r="B437" i="40" l="1"/>
  <c r="B438" i="40" l="1"/>
  <c r="B439" i="40" l="1"/>
  <c r="B440" i="40" l="1"/>
  <c r="B441" i="40" l="1"/>
  <c r="B442" i="40" l="1"/>
  <c r="B443" i="40" l="1"/>
  <c r="B444" i="40" l="1"/>
  <c r="B445" i="40" l="1"/>
  <c r="B446" i="40" l="1"/>
  <c r="B447" i="40" l="1"/>
  <c r="B448" i="40" l="1"/>
  <c r="B449" i="40" l="1"/>
  <c r="B450" i="40" l="1"/>
  <c r="B451" i="40" l="1"/>
  <c r="B452" i="40" l="1"/>
  <c r="B453" i="40" l="1"/>
  <c r="B454" i="40" l="1"/>
  <c r="B455" i="40" l="1"/>
  <c r="B456" i="40" l="1"/>
  <c r="B457" i="40" l="1"/>
  <c r="B458" i="40" l="1"/>
  <c r="B459" i="40" l="1"/>
  <c r="B460" i="40" l="1"/>
  <c r="B461" i="40" l="1"/>
  <c r="B462" i="40" l="1"/>
  <c r="B463" i="40" l="1"/>
  <c r="B464" i="40" l="1"/>
  <c r="B465" i="40" l="1"/>
  <c r="B466" i="40" l="1"/>
  <c r="B467" i="40" l="1"/>
  <c r="B468" i="40" l="1"/>
  <c r="B469" i="40" l="1"/>
  <c r="B470" i="40" l="1"/>
  <c r="B471" i="40" l="1"/>
  <c r="B472" i="40" l="1"/>
  <c r="B473" i="40" l="1"/>
  <c r="B474" i="40" l="1"/>
  <c r="B475" i="40" l="1"/>
  <c r="B476" i="40" l="1"/>
  <c r="B477" i="40" l="1"/>
  <c r="B478" i="40" l="1"/>
  <c r="B479" i="40" l="1"/>
  <c r="B480" i="40" l="1"/>
  <c r="B481" i="40" l="1"/>
  <c r="B482" i="40" l="1"/>
  <c r="B483" i="40" l="1"/>
  <c r="B484" i="40" l="1"/>
  <c r="B485" i="40" l="1"/>
  <c r="B486" i="40" l="1"/>
  <c r="B487" i="40" l="1"/>
  <c r="B488" i="40" l="1"/>
  <c r="B489" i="40" l="1"/>
  <c r="B490" i="40" l="1"/>
  <c r="B491" i="40" l="1"/>
  <c r="B492" i="40" l="1"/>
  <c r="B493" i="40" l="1"/>
  <c r="B494" i="40" l="1"/>
  <c r="B495" i="40" l="1"/>
  <c r="B496" i="40" l="1"/>
  <c r="B497" i="40" l="1"/>
  <c r="B498" i="40" l="1"/>
  <c r="B499" i="40" l="1"/>
  <c r="B500" i="40" l="1"/>
  <c r="B501" i="40" l="1"/>
  <c r="B502" i="40" l="1"/>
  <c r="B503" i="40" l="1"/>
  <c r="B504" i="40" l="1"/>
  <c r="B505" i="40" l="1"/>
  <c r="B506" i="40" l="1"/>
  <c r="B507" i="40" l="1"/>
  <c r="B508" i="40" l="1"/>
  <c r="B509" i="40" l="1"/>
  <c r="B510" i="40" l="1"/>
  <c r="B511" i="40" l="1"/>
  <c r="B512" i="40" l="1"/>
  <c r="B513" i="40" l="1"/>
  <c r="B514" i="40" l="1"/>
  <c r="B515" i="40" l="1"/>
  <c r="B516" i="40" l="1"/>
  <c r="B517" i="40" l="1"/>
  <c r="B518" i="40" l="1"/>
  <c r="B519" i="40" l="1"/>
  <c r="B520" i="40" l="1"/>
  <c r="B521" i="40" l="1"/>
  <c r="B522" i="40" l="1"/>
  <c r="B523" i="40" l="1"/>
  <c r="B524" i="40" l="1"/>
  <c r="B525" i="40" l="1"/>
  <c r="B526" i="40" l="1"/>
  <c r="B527" i="40" l="1"/>
  <c r="B528" i="40" l="1"/>
  <c r="B529" i="40" l="1"/>
  <c r="B530" i="40" l="1"/>
  <c r="B531" i="40" l="1"/>
  <c r="B532" i="40" l="1"/>
  <c r="B533" i="40" l="1"/>
  <c r="B534" i="40" l="1"/>
  <c r="B535" i="40" l="1"/>
  <c r="B536" i="40" l="1"/>
  <c r="B537" i="40" l="1"/>
  <c r="B538" i="40" l="1"/>
  <c r="B539" i="40" l="1"/>
  <c r="B540" i="40" l="1"/>
  <c r="B541" i="40" l="1"/>
  <c r="B542" i="40" l="1"/>
  <c r="B543" i="40" l="1"/>
  <c r="B544" i="40" l="1"/>
  <c r="B545" i="40" l="1"/>
  <c r="B546" i="40" l="1"/>
  <c r="B547" i="40" l="1"/>
  <c r="B548" i="40" l="1"/>
  <c r="B549" i="40" l="1"/>
  <c r="B550" i="40" l="1"/>
  <c r="B551" i="40" l="1"/>
  <c r="B552" i="40" l="1"/>
  <c r="B553" i="40" l="1"/>
  <c r="B554" i="40" l="1"/>
  <c r="B555" i="40" l="1"/>
  <c r="B556" i="40" l="1"/>
  <c r="B557" i="40" l="1"/>
  <c r="B558" i="40" l="1"/>
  <c r="B559" i="40" l="1"/>
  <c r="B560" i="40" l="1"/>
  <c r="B561" i="40" l="1"/>
  <c r="B562" i="40" l="1"/>
  <c r="B563" i="40" l="1"/>
  <c r="B564" i="40" l="1"/>
  <c r="B565" i="40" l="1"/>
  <c r="B566" i="40" l="1"/>
  <c r="B567" i="40" l="1"/>
  <c r="B568" i="40" l="1"/>
  <c r="B569" i="40" l="1"/>
  <c r="B570" i="40" l="1"/>
  <c r="B571" i="40" l="1"/>
  <c r="B572" i="40" l="1"/>
  <c r="B573" i="40" l="1"/>
  <c r="B574" i="40" l="1"/>
  <c r="B575" i="40" l="1"/>
  <c r="B576" i="40" l="1"/>
  <c r="B577" i="40" l="1"/>
  <c r="B578" i="40" l="1"/>
  <c r="B579" i="40" l="1"/>
  <c r="B580" i="40" l="1"/>
  <c r="B581" i="40" l="1"/>
  <c r="B582" i="40" l="1"/>
  <c r="B583" i="40" l="1"/>
  <c r="B584" i="40" l="1"/>
  <c r="B585" i="40" l="1"/>
  <c r="B586" i="40" l="1"/>
  <c r="B587" i="40" l="1"/>
  <c r="B588" i="40" l="1"/>
  <c r="B589" i="40" l="1"/>
  <c r="B590" i="40" l="1"/>
  <c r="B591" i="40" l="1"/>
  <c r="B592" i="40" l="1"/>
  <c r="B593" i="40" l="1"/>
  <c r="B594" i="40" l="1"/>
  <c r="B595" i="40" l="1"/>
  <c r="B596" i="40" l="1"/>
  <c r="B597" i="40" l="1"/>
  <c r="B598" i="40" l="1"/>
  <c r="B599" i="40" l="1"/>
  <c r="B600" i="40" l="1"/>
  <c r="B601" i="40" l="1"/>
  <c r="B602" i="40" l="1"/>
  <c r="B603" i="40" l="1"/>
  <c r="B604" i="40" l="1"/>
  <c r="B605" i="40" l="1"/>
  <c r="B606" i="40" l="1"/>
  <c r="B607" i="40" l="1"/>
  <c r="B608" i="40" l="1"/>
  <c r="B609" i="40" l="1"/>
  <c r="B610" i="40" l="1"/>
  <c r="B611" i="40" l="1"/>
  <c r="B612" i="40" l="1"/>
  <c r="B613" i="40" l="1"/>
  <c r="B614" i="40" l="1"/>
  <c r="B615" i="40" l="1"/>
  <c r="B616" i="40" l="1"/>
  <c r="B617" i="40" l="1"/>
  <c r="B618" i="40" l="1"/>
  <c r="B619" i="40" l="1"/>
  <c r="B620" i="40" l="1"/>
  <c r="B621" i="40" l="1"/>
  <c r="B622" i="40" l="1"/>
  <c r="B623" i="40" l="1"/>
  <c r="B624" i="40" l="1"/>
  <c r="B625" i="40" l="1"/>
  <c r="B626" i="40" l="1"/>
  <c r="B627" i="40" l="1"/>
  <c r="B628" i="40" l="1"/>
  <c r="B629" i="40" l="1"/>
  <c r="B630" i="40" l="1"/>
  <c r="B631" i="40" l="1"/>
  <c r="B632" i="40" l="1"/>
  <c r="B633" i="40" l="1"/>
  <c r="B634" i="40" l="1"/>
  <c r="B635" i="40" l="1"/>
  <c r="B636" i="40" l="1"/>
  <c r="B637" i="40" l="1"/>
  <c r="B638" i="40" l="1"/>
  <c r="B639" i="40" l="1"/>
  <c r="B640" i="40" l="1"/>
  <c r="B641" i="40" l="1"/>
  <c r="B642" i="40" l="1"/>
  <c r="B643" i="40" l="1"/>
  <c r="B644" i="40" l="1"/>
  <c r="B645" i="40" l="1"/>
  <c r="B646" i="40" l="1"/>
  <c r="B647" i="40" l="1"/>
  <c r="B648" i="40" l="1"/>
  <c r="B649" i="40" l="1"/>
  <c r="B650" i="40" l="1"/>
  <c r="B651" i="40" l="1"/>
  <c r="B652" i="40" l="1"/>
  <c r="B653" i="40" l="1"/>
  <c r="B654" i="40" l="1"/>
  <c r="B655" i="40" l="1"/>
  <c r="B656" i="40" l="1"/>
  <c r="B657" i="40" l="1"/>
  <c r="B658" i="40" l="1"/>
  <c r="B659" i="40" l="1"/>
  <c r="B660" i="40" l="1"/>
  <c r="B661" i="40" l="1"/>
  <c r="B662" i="40" l="1"/>
  <c r="B663" i="40" l="1"/>
  <c r="B664" i="40" l="1"/>
  <c r="B665" i="40" l="1"/>
  <c r="B666" i="40" l="1"/>
  <c r="B667" i="40" l="1"/>
  <c r="B668" i="40" l="1"/>
  <c r="B669" i="40" l="1"/>
  <c r="B670" i="40" l="1"/>
  <c r="B671" i="40" l="1"/>
  <c r="B672" i="40" l="1"/>
  <c r="B673" i="40" l="1"/>
  <c r="B674" i="40" l="1"/>
  <c r="B675" i="40" l="1"/>
  <c r="B676" i="40" l="1"/>
  <c r="B677" i="40" l="1"/>
  <c r="B678" i="40" l="1"/>
  <c r="B679" i="40" l="1"/>
  <c r="B680" i="40" l="1"/>
  <c r="B681" i="40" l="1"/>
  <c r="B682" i="40" l="1"/>
  <c r="B683" i="40" l="1"/>
  <c r="B684" i="40" l="1"/>
  <c r="B685" i="40" l="1"/>
  <c r="B686" i="40" l="1"/>
  <c r="B687" i="40" l="1"/>
  <c r="B688" i="40" l="1"/>
  <c r="B689" i="40" l="1"/>
  <c r="B690" i="40" l="1"/>
  <c r="B691" i="40" l="1"/>
  <c r="B692" i="40" l="1"/>
  <c r="B693" i="40" l="1"/>
  <c r="B694" i="40" l="1"/>
  <c r="B695" i="40" l="1"/>
  <c r="B696" i="40" l="1"/>
  <c r="B697" i="40" l="1"/>
  <c r="B698" i="40" l="1"/>
  <c r="B699" i="40" l="1"/>
  <c r="B700" i="40" l="1"/>
  <c r="B701" i="40" l="1"/>
  <c r="B702" i="40" l="1"/>
  <c r="B703" i="40" l="1"/>
  <c r="B704" i="40" l="1"/>
  <c r="B705" i="40" l="1"/>
  <c r="B706" i="40" l="1"/>
  <c r="B707" i="40" l="1"/>
  <c r="B708" i="40" l="1"/>
  <c r="B709" i="40" l="1"/>
  <c r="B710" i="40" l="1"/>
  <c r="B711" i="40" l="1"/>
  <c r="B712" i="40" l="1"/>
  <c r="B713" i="40" l="1"/>
  <c r="B714" i="40" l="1"/>
  <c r="B715" i="40" l="1"/>
  <c r="B716" i="40" l="1"/>
  <c r="B717" i="40" l="1"/>
  <c r="B718" i="40" l="1"/>
  <c r="B719" i="40" l="1"/>
  <c r="B720" i="40" l="1"/>
  <c r="B721" i="40" l="1"/>
  <c r="B722" i="40" l="1"/>
  <c r="B723" i="40" l="1"/>
  <c r="B724" i="40" l="1"/>
  <c r="B725" i="40" l="1"/>
  <c r="B726" i="40" l="1"/>
  <c r="B727" i="40" l="1"/>
  <c r="B728" i="40" l="1"/>
  <c r="B729" i="40" l="1"/>
  <c r="B730" i="40"/>
  <c r="B731" i="40" l="1"/>
  <c r="B732" i="40" l="1"/>
  <c r="B733" i="40" l="1"/>
  <c r="B734" i="40" l="1"/>
  <c r="B735" i="40" l="1"/>
  <c r="B736" i="40" l="1"/>
  <c r="B737" i="40" l="1"/>
  <c r="B738" i="40" l="1"/>
  <c r="B739" i="40" l="1"/>
  <c r="B740" i="40" l="1"/>
  <c r="B741" i="40" l="1"/>
  <c r="B742" i="40" l="1"/>
  <c r="B743" i="40" l="1"/>
  <c r="B744" i="40" l="1"/>
  <c r="B745" i="40" l="1"/>
  <c r="B746" i="40" l="1"/>
  <c r="B747" i="40" l="1"/>
  <c r="B748" i="40" l="1"/>
  <c r="B749" i="40" l="1"/>
  <c r="B750" i="40" l="1"/>
  <c r="B751" i="40" l="1"/>
  <c r="J4" i="34" s="1"/>
  <c r="J13" i="34" s="1"/>
  <c r="F4" i="34"/>
  <c r="F13" i="34" s="1"/>
  <c r="G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1B31D-1C04-4E75-A332-306E1684FCED}" keepAlive="1" name="Consulta - Funcionários_Ativos" description="Conexão com a consulta 'Funcionários_Ativos' na pasta de trabalho." type="5" refreshedVersion="8" background="1" saveData="1">
    <dbPr connection="Provider=Microsoft.Mashup.OleDb.1;Data Source=$Workbook$;Location=Funcionários_Ativos;Extended Properties=&quot;&quot;" command="SELECT * FROM [Funcionários_Ativos]"/>
  </connection>
  <connection id="2" xr16:uid="{0BB50F0A-F00B-41A1-BCB8-8CFA75319642}" keepAlive="1" name="Consulta - RemoverAcentos" description="Conexão com a consulta 'RemoverAcentos' na pasta de trabalho." type="5" refreshedVersion="0" background="1">
    <dbPr connection="Provider=Microsoft.Mashup.OleDb.1;Data Source=$Workbook$;Location=RemoverAcentos;Extended Properties=&quot;&quot;" command="SELECT * FROM [RemoverAcentos]"/>
  </connection>
  <connection id="3" xr16:uid="{C492659F-C66C-4B20-8268-75408E375043}" keepAlive="1" name="Consulta - Separação por setor" description="Conexão com a consulta 'Separação por setor' na pasta de trabalho." type="5" refreshedVersion="8" background="1" saveData="1">
    <dbPr connection="Provider=Microsoft.Mashup.OleDb.1;Data Source=$Workbook$;Location=&quot;Separação por setor&quot;;Extended Properties=&quot;&quot;" command="SELECT * FROM [Separação por setor]"/>
  </connection>
  <connection id="4" xr16:uid="{4C5FFA68-A06C-4E8D-ACEE-14DBCC502726}" keepAlive="1" name="Consulta - Substituição de setor" description="Conexão com a consulta 'Substituição de setor' na pasta de trabalho." type="5" refreshedVersion="0" background="1">
    <dbPr connection="Provider=Microsoft.Mashup.OleDb.1;Data Source=$Workbook$;Location=&quot;Substituição de setor&quot;;Extended Properties=&quot;&quot;" command="SELECT * FROM [Substituição de setor]"/>
  </connection>
  <connection id="5" xr16:uid="{33BD5E29-41FF-422E-A4E1-DDE3C9FB09B3}" keepAlive="1" name="Consulta - txt_UploadApp" description="Conexão com a consulta 'txt_UploadApp' na pasta de trabalho." type="5" refreshedVersion="8" background="1" saveData="1">
    <dbPr connection="Provider=Microsoft.Mashup.OleDb.1;Data Source=$Workbook$;Location=txt_UploadApp;Extended Properties=&quot;&quot;" command="SELECT * FROM [txt_UploadApp]"/>
  </connection>
</connections>
</file>

<file path=xl/sharedStrings.xml><?xml version="1.0" encoding="utf-8"?>
<sst xmlns="http://schemas.openxmlformats.org/spreadsheetml/2006/main" count="1829" uniqueCount="960">
  <si>
    <r>
      <t xml:space="preserve">  BRASFRUT FRUTOS DO BRASIL        </t>
    </r>
    <r>
      <rPr>
        <b/>
        <sz val="12"/>
        <color theme="1"/>
        <rFont val="Times New Roman"/>
        <family val="1"/>
      </rPr>
      <t>PEDIDO DE POLPA</t>
    </r>
    <r>
      <rPr>
        <sz val="12"/>
        <color theme="1"/>
        <rFont val="Times New Roman"/>
        <family val="1"/>
      </rPr>
      <t xml:space="preserve">                      </t>
    </r>
    <r>
      <rPr>
        <b/>
        <sz val="12"/>
        <color theme="1"/>
        <rFont val="Times New Roman"/>
        <family val="1"/>
      </rPr>
      <t>FOLHA</t>
    </r>
    <r>
      <rPr>
        <sz val="12"/>
        <color theme="1"/>
        <rFont val="Times New Roman"/>
        <family val="1"/>
      </rPr>
      <t xml:space="preserve">                                                        </t>
    </r>
    <r>
      <rPr>
        <b/>
        <sz val="12"/>
        <color theme="1"/>
        <rFont val="Times New Roman"/>
        <family val="1"/>
      </rPr>
      <t xml:space="preserve">Página                    </t>
    </r>
    <r>
      <rPr>
        <b/>
        <sz val="11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</t>
    </r>
  </si>
  <si>
    <t xml:space="preserve">  FEIRA DE SANTANA                                 RM Labore    12.1.22.1                                                                                        Versão 12.1.22.1</t>
  </si>
  <si>
    <t xml:space="preserve">CHAPA </t>
  </si>
  <si>
    <t xml:space="preserve">     NOME </t>
  </si>
  <si>
    <t>ASSINATURA</t>
  </si>
  <si>
    <t>DATA ABV</t>
  </si>
  <si>
    <t>HORA</t>
  </si>
  <si>
    <t xml:space="preserve">  AV. DEP. LUIZ EDUARDO S/N                 COD.:011.8                                                                                                         Data                            </t>
  </si>
  <si>
    <t>DATA DA LISTA</t>
  </si>
  <si>
    <t>ALMOXARIFADO</t>
  </si>
  <si>
    <t>LABORATORIO</t>
  </si>
  <si>
    <t>REFEITORIO</t>
  </si>
  <si>
    <t>MANUTENÇÃO</t>
  </si>
  <si>
    <t>CD</t>
  </si>
  <si>
    <t>FILIAL</t>
  </si>
  <si>
    <t>ESCRITÓRIO</t>
  </si>
  <si>
    <t>SETORES</t>
  </si>
  <si>
    <t>POLPA</t>
  </si>
  <si>
    <t>SORBET</t>
  </si>
  <si>
    <t>NECTAR</t>
  </si>
  <si>
    <t>MP</t>
  </si>
  <si>
    <t>TOTAL:</t>
  </si>
  <si>
    <t>FOLHA</t>
  </si>
  <si>
    <t>EXTRAÇÃO</t>
  </si>
  <si>
    <t>PRODUÇÃO</t>
  </si>
  <si>
    <t>FUNCIONARIOS:</t>
  </si>
  <si>
    <t>0,300g</t>
  </si>
  <si>
    <t>1kg</t>
  </si>
  <si>
    <t>COUVE-FLOR</t>
  </si>
  <si>
    <t>BROCOLIS</t>
  </si>
  <si>
    <t>ERVILHA</t>
  </si>
  <si>
    <t>VEGETAL</t>
  </si>
  <si>
    <t xml:space="preserve">               </t>
  </si>
  <si>
    <t>JARDINEIRA</t>
  </si>
  <si>
    <t>matrícula</t>
  </si>
  <si>
    <t>nome</t>
  </si>
  <si>
    <t>setor</t>
  </si>
  <si>
    <t>distribuição</t>
  </si>
  <si>
    <t>Admissão</t>
  </si>
  <si>
    <t>04932</t>
  </si>
  <si>
    <t>Dhulhiany Barbosa Lima</t>
  </si>
  <si>
    <t>Escritorio</t>
  </si>
  <si>
    <t>Expedição</t>
  </si>
  <si>
    <t>05089</t>
  </si>
  <si>
    <t>Rafaela Trabuco De Araujo Silva</t>
  </si>
  <si>
    <t>07246</t>
  </si>
  <si>
    <t>Bruno Batista Guardiano Santos</t>
  </si>
  <si>
    <t>07234</t>
  </si>
  <si>
    <t>Cleiton Brito Macedo</t>
  </si>
  <si>
    <t>07236</t>
  </si>
  <si>
    <t>Danielly Dos Santos Bastos</t>
  </si>
  <si>
    <t>07142</t>
  </si>
  <si>
    <t>Gabriel Borges De Santana</t>
  </si>
  <si>
    <t>07235</t>
  </si>
  <si>
    <t>Guilherme Cerqueira Dias</t>
  </si>
  <si>
    <t>04189</t>
  </si>
  <si>
    <t>Adriana De Lima Sousa Silva</t>
  </si>
  <si>
    <t>03220</t>
  </si>
  <si>
    <t>Danilo Borges Mascarenhas</t>
  </si>
  <si>
    <t>05040</t>
  </si>
  <si>
    <t>Arilson De Oliveira Lopes</t>
  </si>
  <si>
    <t>Almoxarifado</t>
  </si>
  <si>
    <t>Fabrica</t>
  </si>
  <si>
    <t>07011</t>
  </si>
  <si>
    <t>Brendo Wanderson De Souza Oliveira Santos</t>
  </si>
  <si>
    <t>05028</t>
  </si>
  <si>
    <t>Emeson De Jesus Oliveira</t>
  </si>
  <si>
    <t>05003</t>
  </si>
  <si>
    <t>Otavio Rodrigo Freitas Teixeira</t>
  </si>
  <si>
    <t>07146</t>
  </si>
  <si>
    <t>Espedito Kauan Dos Santos Dos Santos</t>
  </si>
  <si>
    <t>07139</t>
  </si>
  <si>
    <t>Railan Souza Goncalves</t>
  </si>
  <si>
    <t>07140</t>
  </si>
  <si>
    <t>Ronald Santos Oliveira</t>
  </si>
  <si>
    <t>04966</t>
  </si>
  <si>
    <t>Emerson Souza Silva</t>
  </si>
  <si>
    <t>Producao</t>
  </si>
  <si>
    <t>07030</t>
  </si>
  <si>
    <t>Luana Santos De Jesus</t>
  </si>
  <si>
    <t>02843</t>
  </si>
  <si>
    <t>Lucineide De Jesus Ferreira</t>
  </si>
  <si>
    <t>07144</t>
  </si>
  <si>
    <t>Brenda Emanuelle De Souza Ribeiro</t>
  </si>
  <si>
    <t>07147</t>
  </si>
  <si>
    <t>Hiandra Evilin Santos Silva</t>
  </si>
  <si>
    <t>99014</t>
  </si>
  <si>
    <t>Ana Carolina Dias Da Silva</t>
  </si>
  <si>
    <t>Filial</t>
  </si>
  <si>
    <t>99010</t>
  </si>
  <si>
    <t>Cristiane Piedade De Jesus Lima</t>
  </si>
  <si>
    <t>07233</t>
  </si>
  <si>
    <t>Arthur Vinicius Mansani Amorim</t>
  </si>
  <si>
    <t>Manutencao</t>
  </si>
  <si>
    <t>07238</t>
  </si>
  <si>
    <t>Gabriela Cerqueira Souza</t>
  </si>
  <si>
    <t>Expedicao</t>
  </si>
  <si>
    <t>04295</t>
  </si>
  <si>
    <t>Antoniel Santos De Jesus</t>
  </si>
  <si>
    <t>Entamboramento</t>
  </si>
  <si>
    <t>05095</t>
  </si>
  <si>
    <t>Antonio Da Silva Oliveira</t>
  </si>
  <si>
    <t>07272</t>
  </si>
  <si>
    <t>Antonio De Almeida Santiago</t>
  </si>
  <si>
    <t>07067</t>
  </si>
  <si>
    <t>Breno Lima Dos Santos</t>
  </si>
  <si>
    <t>07276</t>
  </si>
  <si>
    <t>Carlos Alberto Souza Paim</t>
  </si>
  <si>
    <t>07277</t>
  </si>
  <si>
    <t>Diego Santos Rodrigues</t>
  </si>
  <si>
    <t>02897</t>
  </si>
  <si>
    <t>Edilson De Jesus Soares</t>
  </si>
  <si>
    <t>03693</t>
  </si>
  <si>
    <t>Edson Lacerda Dos Santos</t>
  </si>
  <si>
    <t>05002</t>
  </si>
  <si>
    <t>Francisco Santana Da Conceicao</t>
  </si>
  <si>
    <t>01313</t>
  </si>
  <si>
    <t>Francisco Silva Da Conceicao</t>
  </si>
  <si>
    <t>04008</t>
  </si>
  <si>
    <t>Imezio Teles Dos Santos</t>
  </si>
  <si>
    <t>07068</t>
  </si>
  <si>
    <t>Lucas Oliveira De Jesus</t>
  </si>
  <si>
    <t>07271</t>
  </si>
  <si>
    <t>Lucas Reis Matos</t>
  </si>
  <si>
    <t>07269</t>
  </si>
  <si>
    <t>Sandro Luan Sales De Oliveira Reis</t>
  </si>
  <si>
    <t>07166</t>
  </si>
  <si>
    <t>Wesley Alan Araujo De Santana</t>
  </si>
  <si>
    <t>01246</t>
  </si>
  <si>
    <t>Eliana De Araujo Silva</t>
  </si>
  <si>
    <t>03896</t>
  </si>
  <si>
    <t>Hamilton Ribeiro De Oliveira</t>
  </si>
  <si>
    <t>03506</t>
  </si>
  <si>
    <t>Herica Mota Schneider</t>
  </si>
  <si>
    <t>03507</t>
  </si>
  <si>
    <t>Hilmara Santos Lopes</t>
  </si>
  <si>
    <t>07151</t>
  </si>
  <si>
    <t>Iasmin Juliao Souza</t>
  </si>
  <si>
    <t>04665</t>
  </si>
  <si>
    <t>Jaciara Batista De Menezes</t>
  </si>
  <si>
    <t>07077</t>
  </si>
  <si>
    <t>Jessiane Nascimento Machado</t>
  </si>
  <si>
    <t>03974</t>
  </si>
  <si>
    <t>Karine Oliveira Dos Santos Lobo</t>
  </si>
  <si>
    <t>07239</t>
  </si>
  <si>
    <t>Kauanne Frantiny Araujo De Oliveira</t>
  </si>
  <si>
    <t>07240</t>
  </si>
  <si>
    <t>Keyla Borges Silva</t>
  </si>
  <si>
    <t>07025</t>
  </si>
  <si>
    <t>Laisa Cerqueira Dos Santos</t>
  </si>
  <si>
    <t>04914</t>
  </si>
  <si>
    <t>Laize Evellen Da Silva Couto</t>
  </si>
  <si>
    <t>99008</t>
  </si>
  <si>
    <t>Leonardo Joel Santos</t>
  </si>
  <si>
    <t>07143</t>
  </si>
  <si>
    <t>Lorena Borges De Oliveira</t>
  </si>
  <si>
    <t>04642</t>
  </si>
  <si>
    <t>Lucas Vinicius De Jesus Moreira</t>
  </si>
  <si>
    <t>07029</t>
  </si>
  <si>
    <t>Maile Santana Da Silva</t>
  </si>
  <si>
    <t>07244</t>
  </si>
  <si>
    <t>Marcelly Dos Santos Merces</t>
  </si>
  <si>
    <t>04790</t>
  </si>
  <si>
    <t>Marcio Machado Torres</t>
  </si>
  <si>
    <t>00490</t>
  </si>
  <si>
    <t>Marcos Vinicius Santos Macedo</t>
  </si>
  <si>
    <t>07241</t>
  </si>
  <si>
    <t>Maria Eduarda Silva Fernandes</t>
  </si>
  <si>
    <t>05087</t>
  </si>
  <si>
    <t>Marielle Silva Souza</t>
  </si>
  <si>
    <t>07232</t>
  </si>
  <si>
    <t>Mateus De Jesus Souza</t>
  </si>
  <si>
    <t>07237</t>
  </si>
  <si>
    <t>Michelle Carneiro Ferreira</t>
  </si>
  <si>
    <t>07242</t>
  </si>
  <si>
    <t>Mirela Veronica Pimentel Cunha</t>
  </si>
  <si>
    <t>07148</t>
  </si>
  <si>
    <t>Nathalia Cardoso Batista Pereira</t>
  </si>
  <si>
    <t>07150</t>
  </si>
  <si>
    <t>Poliane Araujo Melo</t>
  </si>
  <si>
    <t>07080</t>
  </si>
  <si>
    <t>Rafael Rodrigues Da Silva Sodre</t>
  </si>
  <si>
    <t>10002</t>
  </si>
  <si>
    <t>Reinaldo Almeida Portugal</t>
  </si>
  <si>
    <t>10003</t>
  </si>
  <si>
    <t>Reinaldo Vinicius Paim Portugal</t>
  </si>
  <si>
    <t>03847</t>
  </si>
  <si>
    <t>Rosangela Borges Dos Santos</t>
  </si>
  <si>
    <t>02454</t>
  </si>
  <si>
    <t>Rosely Falcao Batista</t>
  </si>
  <si>
    <t>04469</t>
  </si>
  <si>
    <t>Simone Ribeiro Da Costa</t>
  </si>
  <si>
    <t>07243</t>
  </si>
  <si>
    <t>Sinara De Sousa E Souza</t>
  </si>
  <si>
    <t>07152</t>
  </si>
  <si>
    <t>Tainara Alves De Santana</t>
  </si>
  <si>
    <t>07098</t>
  </si>
  <si>
    <t>Tamires Gomes Borges Alves</t>
  </si>
  <si>
    <t>07149</t>
  </si>
  <si>
    <t>Thais Santos De Jesus</t>
  </si>
  <si>
    <t>99015</t>
  </si>
  <si>
    <t>Wellington Aparecido Rocha Balbo</t>
  </si>
  <si>
    <t>04937</t>
  </si>
  <si>
    <t>Wendel Da Silva Oliveira</t>
  </si>
  <si>
    <t>04700</t>
  </si>
  <si>
    <t>Adir Vasconcelos Nunes</t>
  </si>
  <si>
    <t>Estoque</t>
  </si>
  <si>
    <t>03450</t>
  </si>
  <si>
    <t>Amilton Bastos Ferreira</t>
  </si>
  <si>
    <t>04993</t>
  </si>
  <si>
    <t>Anilton Souza Santos</t>
  </si>
  <si>
    <t>07095</t>
  </si>
  <si>
    <t>Carlos Humberto Cardoso Ferreira</t>
  </si>
  <si>
    <t>04974</t>
  </si>
  <si>
    <t>Edvaldo Moreira Silva</t>
  </si>
  <si>
    <t>05090</t>
  </si>
  <si>
    <t>Fagner De Oliveira Borges</t>
  </si>
  <si>
    <t>05098</t>
  </si>
  <si>
    <t>Jackson Franco De Jesus</t>
  </si>
  <si>
    <t>05085</t>
  </si>
  <si>
    <t>Jailson Alves Da Silva</t>
  </si>
  <si>
    <t>07096</t>
  </si>
  <si>
    <t>Joao Victor Santos Lopes</t>
  </si>
  <si>
    <t>07010</t>
  </si>
  <si>
    <t>Joao Vitor Rodrigues Nascimento</t>
  </si>
  <si>
    <t>03160</t>
  </si>
  <si>
    <t>Jorge De Oliveira Cardeal</t>
  </si>
  <si>
    <t>01306</t>
  </si>
  <si>
    <t>Jose Dos Santos Alves</t>
  </si>
  <si>
    <t>06027</t>
  </si>
  <si>
    <t>Kenedy Bispo De Oliveira</t>
  </si>
  <si>
    <t>06086</t>
  </si>
  <si>
    <t>Lucas Marques Rocha</t>
  </si>
  <si>
    <t>07178</t>
  </si>
  <si>
    <t>Mailson Ferreira Pinho De Mattos</t>
  </si>
  <si>
    <t>04957</t>
  </si>
  <si>
    <t>Marcos Machado Torres</t>
  </si>
  <si>
    <t>05021</t>
  </si>
  <si>
    <t>Moises Neves Dos Santos</t>
  </si>
  <si>
    <t>05084</t>
  </si>
  <si>
    <t>Rian Cardoso Santos</t>
  </si>
  <si>
    <t>05039</t>
  </si>
  <si>
    <t>Rodrigo Alves Da Silva</t>
  </si>
  <si>
    <t>07161</t>
  </si>
  <si>
    <t>Alan Barreto Dos Santos Santos</t>
  </si>
  <si>
    <t>04065</t>
  </si>
  <si>
    <t>Antonio Carlos Ferreira Leite</t>
  </si>
  <si>
    <t>07160</t>
  </si>
  <si>
    <t>Ariel Oliveira Ferreira</t>
  </si>
  <si>
    <t>07159</t>
  </si>
  <si>
    <t>Caique Bastos De Souza</t>
  </si>
  <si>
    <t>07176</t>
  </si>
  <si>
    <t>Davi Da Silva Soares</t>
  </si>
  <si>
    <t>04481</t>
  </si>
  <si>
    <t>Fabio Falcao Da Silva</t>
  </si>
  <si>
    <t>03552</t>
  </si>
  <si>
    <t>Flavio Dos Santos Alves</t>
  </si>
  <si>
    <t>07115</t>
  </si>
  <si>
    <t>Israel Custodia Pedreira</t>
  </si>
  <si>
    <t>04401</t>
  </si>
  <si>
    <t>Janiel Do Rosario Ribeiro</t>
  </si>
  <si>
    <t>07200</t>
  </si>
  <si>
    <t>Jeferson Santos Leal</t>
  </si>
  <si>
    <t>03084</t>
  </si>
  <si>
    <t>Jose Milton Carvalho Ferreira</t>
  </si>
  <si>
    <t>07102</t>
  </si>
  <si>
    <t>Josimar Oliveira Santos</t>
  </si>
  <si>
    <t>06011</t>
  </si>
  <si>
    <t>Leonardo Do Amor Divino Ramos</t>
  </si>
  <si>
    <t>07180</t>
  </si>
  <si>
    <t>Luan Dos Santos Oliveira</t>
  </si>
  <si>
    <t>04724</t>
  </si>
  <si>
    <t>Luciano Souza Alves Bezerra</t>
  </si>
  <si>
    <t>01353</t>
  </si>
  <si>
    <t>Luis Antonio De Oliveira Santos</t>
  </si>
  <si>
    <t>07209</t>
  </si>
  <si>
    <t>Nilton Souza Santos</t>
  </si>
  <si>
    <t>05050</t>
  </si>
  <si>
    <t>Rafael Pereira Da Silva</t>
  </si>
  <si>
    <t>07172</t>
  </si>
  <si>
    <t>Raian Lopes De Oliveira</t>
  </si>
  <si>
    <t>07208</t>
  </si>
  <si>
    <t>Renato Brito De Jesus Junior</t>
  </si>
  <si>
    <t>07201</t>
  </si>
  <si>
    <t>Ryan Victor Pereira Mota</t>
  </si>
  <si>
    <t>03422</t>
  </si>
  <si>
    <t>Antonio Cerqueira Santos</t>
  </si>
  <si>
    <t>Extracao</t>
  </si>
  <si>
    <t>06097</t>
  </si>
  <si>
    <t>Antonio Jorge Lima Souza</t>
  </si>
  <si>
    <t>00123</t>
  </si>
  <si>
    <t>Assis Dos Santos Oliveira</t>
  </si>
  <si>
    <t>00301</t>
  </si>
  <si>
    <t>Felipe Porto Brandao</t>
  </si>
  <si>
    <t>03745</t>
  </si>
  <si>
    <t>Helenito Nascimento Bastos</t>
  </si>
  <si>
    <t>04772</t>
  </si>
  <si>
    <t>Jerson Dos Santos Evangelista</t>
  </si>
  <si>
    <t>04548</t>
  </si>
  <si>
    <t>Joilson Santos Fernandes</t>
  </si>
  <si>
    <t>03878</t>
  </si>
  <si>
    <t>Jorge Da Silva Gama</t>
  </si>
  <si>
    <t>01636</t>
  </si>
  <si>
    <t>Joselito Souza De Oliveira</t>
  </si>
  <si>
    <t>04319</t>
  </si>
  <si>
    <t>Joseval Dos Santos</t>
  </si>
  <si>
    <t>04618</t>
  </si>
  <si>
    <t>Laercio Ribeiro</t>
  </si>
  <si>
    <t>07063</t>
  </si>
  <si>
    <t>Leandro Alves Soares</t>
  </si>
  <si>
    <t>04500</t>
  </si>
  <si>
    <t>Nelson Do Nascimento Bizerra</t>
  </si>
  <si>
    <t>04547</t>
  </si>
  <si>
    <t>Paulo Roberto Fontes Argollo De Britto Junior</t>
  </si>
  <si>
    <t>07034</t>
  </si>
  <si>
    <t>Valmir Oliveira Dos Santos</t>
  </si>
  <si>
    <t>02857</t>
  </si>
  <si>
    <t>Ana Flavia Oliveira Pereira</t>
  </si>
  <si>
    <t>Laboratorio</t>
  </si>
  <si>
    <t>04180</t>
  </si>
  <si>
    <t>Arilane Marques Dos Santos</t>
  </si>
  <si>
    <t>04163</t>
  </si>
  <si>
    <t>Edneide Marques Alves Amaral</t>
  </si>
  <si>
    <t>07249</t>
  </si>
  <si>
    <t>Francileide Marta De Jesus Bessa</t>
  </si>
  <si>
    <t>07005</t>
  </si>
  <si>
    <t>Gabriel Costa Santos</t>
  </si>
  <si>
    <t>07257</t>
  </si>
  <si>
    <t>Girlane Paixao Dos Santos</t>
  </si>
  <si>
    <t>07248</t>
  </si>
  <si>
    <t>Jadcleia De Souza Xavier</t>
  </si>
  <si>
    <t>07251</t>
  </si>
  <si>
    <t>Katia Couto Cardoso</t>
  </si>
  <si>
    <t>03758</t>
  </si>
  <si>
    <t>Keila Ferreira Santana Vieira</t>
  </si>
  <si>
    <t>07263</t>
  </si>
  <si>
    <t>Kelly Fortalesa Rodrigues Lima</t>
  </si>
  <si>
    <t>07250</t>
  </si>
  <si>
    <t>Lais Souza Machado Teixeira</t>
  </si>
  <si>
    <t>07044</t>
  </si>
  <si>
    <t>Marilia Lima Conceicao</t>
  </si>
  <si>
    <t>04947</t>
  </si>
  <si>
    <t>Neide De Santana Moreira</t>
  </si>
  <si>
    <t>07049</t>
  </si>
  <si>
    <t>Robson De Oliveira Carvalho Junior</t>
  </si>
  <si>
    <t>04702</t>
  </si>
  <si>
    <t>Samuel Brito Da Silva</t>
  </si>
  <si>
    <t>03639</t>
  </si>
  <si>
    <t>Sandra Mercia De Melo Costa Mascarenhas</t>
  </si>
  <si>
    <t>07205</t>
  </si>
  <si>
    <t>Thais Souza Amorim</t>
  </si>
  <si>
    <t>07061</t>
  </si>
  <si>
    <t>Thaise Souza Amorim</t>
  </si>
  <si>
    <t>07047</t>
  </si>
  <si>
    <t>Vanessa Dias De Jesus Souza</t>
  </si>
  <si>
    <t>04043</t>
  </si>
  <si>
    <t>Dalva Maria Dos Santos Oliveira</t>
  </si>
  <si>
    <t>Lavagem E Selecao</t>
  </si>
  <si>
    <t>04314</t>
  </si>
  <si>
    <t>Ednai Pureza Dos Santos</t>
  </si>
  <si>
    <t>05015</t>
  </si>
  <si>
    <t>Elizangela Ribeiro De Jesus</t>
  </si>
  <si>
    <t>04998</t>
  </si>
  <si>
    <t>Jaqueline Bastos Silva Carvalho</t>
  </si>
  <si>
    <t>04046</t>
  </si>
  <si>
    <t>Josenilza Rodrigues Do Rosario</t>
  </si>
  <si>
    <t>03525</t>
  </si>
  <si>
    <t>Jucilene Dos Santos</t>
  </si>
  <si>
    <t>02355</t>
  </si>
  <si>
    <t>Maria Regina Martins</t>
  </si>
  <si>
    <t>03850</t>
  </si>
  <si>
    <t>Sandra Dos Santos Gouveia</t>
  </si>
  <si>
    <t>04195</t>
  </si>
  <si>
    <t>Ailton Da Cruz Freitas</t>
  </si>
  <si>
    <t>Limpeza</t>
  </si>
  <si>
    <t>04729</t>
  </si>
  <si>
    <t>Antonio Jose Santos Silva</t>
  </si>
  <si>
    <t>06005</t>
  </si>
  <si>
    <t>Antonio Wilson Almeida Da Silva</t>
  </si>
  <si>
    <t>04935</t>
  </si>
  <si>
    <t>Erivaldo Messias Dos Santos</t>
  </si>
  <si>
    <t>06092</t>
  </si>
  <si>
    <t>Jair Ramos Silva</t>
  </si>
  <si>
    <t>04147</t>
  </si>
  <si>
    <t>Jairton Merces Dos Santos</t>
  </si>
  <si>
    <t>06006</t>
  </si>
  <si>
    <t>Joao Lima De Queiroz</t>
  </si>
  <si>
    <t>03448</t>
  </si>
  <si>
    <t>Jose Carlos Pereira Da Cruz</t>
  </si>
  <si>
    <t>06064</t>
  </si>
  <si>
    <t>Josiane De Jesus</t>
  </si>
  <si>
    <t>04108</t>
  </si>
  <si>
    <t>Manoel De Jesus</t>
  </si>
  <si>
    <t>04215</t>
  </si>
  <si>
    <t>Raimundo Lima Dos Santos</t>
  </si>
  <si>
    <t>03274</t>
  </si>
  <si>
    <t>Robson Oliveira De Souza</t>
  </si>
  <si>
    <t>00903</t>
  </si>
  <si>
    <t>Valter Francisco De Jesus Silva</t>
  </si>
  <si>
    <t>04645</t>
  </si>
  <si>
    <t>Amilton Oliveira Boaventura</t>
  </si>
  <si>
    <t>07207</t>
  </si>
  <si>
    <t>Antonio Rodrigo Pinto De Brito</t>
  </si>
  <si>
    <t>04540</t>
  </si>
  <si>
    <t>Bruno Alves Silva Gusmao</t>
  </si>
  <si>
    <t>04959</t>
  </si>
  <si>
    <t>Carliane Das Virgens Alberto</t>
  </si>
  <si>
    <t>03642</t>
  </si>
  <si>
    <t>David De Oliveira Sena</t>
  </si>
  <si>
    <t>01234</t>
  </si>
  <si>
    <t>Edmilson Oliveira Bispo</t>
  </si>
  <si>
    <t>03972</t>
  </si>
  <si>
    <t>Elenilton Neves Dos Santos</t>
  </si>
  <si>
    <t>05093</t>
  </si>
  <si>
    <t>Elizeu Santos Alves</t>
  </si>
  <si>
    <t>03094</t>
  </si>
  <si>
    <t>Fabio Severino Da Silva Alves</t>
  </si>
  <si>
    <t>07028</t>
  </si>
  <si>
    <t>Fernando Pereira Oliveira</t>
  </si>
  <si>
    <t>07111</t>
  </si>
  <si>
    <t>Jaiza Dos Santos De Jesus</t>
  </si>
  <si>
    <t>07021</t>
  </si>
  <si>
    <t>Jeremias Gomes Ferreira</t>
  </si>
  <si>
    <t>07245</t>
  </si>
  <si>
    <t>Joan Roberty Alves Dos Santos</t>
  </si>
  <si>
    <t>03163</t>
  </si>
  <si>
    <t>Jorge Barreto Dos Santos</t>
  </si>
  <si>
    <t>03252</t>
  </si>
  <si>
    <t>Jose Raimundo De Jesus Oliveira</t>
  </si>
  <si>
    <t>03964</t>
  </si>
  <si>
    <t>Josevaldo De Almeida Santos</t>
  </si>
  <si>
    <t>03966</t>
  </si>
  <si>
    <t>Leandro De Almeida Dos Santos</t>
  </si>
  <si>
    <t>04633</t>
  </si>
  <si>
    <t>Manoel Pereira Dos Santos</t>
  </si>
  <si>
    <t>04332</t>
  </si>
  <si>
    <t>Natanael De Oliveira Cruz</t>
  </si>
  <si>
    <t>03558</t>
  </si>
  <si>
    <t>Osvaldo Moreira Dos Santos</t>
  </si>
  <si>
    <t>01730</t>
  </si>
  <si>
    <t>Otavio De Jesus Teixeira</t>
  </si>
  <si>
    <t>07027</t>
  </si>
  <si>
    <t>Pedro Henrique Lopes Oliveira</t>
  </si>
  <si>
    <t>04220</t>
  </si>
  <si>
    <t>Renilton De Lima Gomes</t>
  </si>
  <si>
    <t>02451</t>
  </si>
  <si>
    <t>Silio Soares Monteiro</t>
  </si>
  <si>
    <t>07191</t>
  </si>
  <si>
    <t>Diovane Araujo Dos Santos</t>
  </si>
  <si>
    <t>Oficina De Tambor</t>
  </si>
  <si>
    <t>07104</t>
  </si>
  <si>
    <t>Edivaldo Dos Santos Silva</t>
  </si>
  <si>
    <t>07107</t>
  </si>
  <si>
    <t>Flavio Barboza Reis</t>
  </si>
  <si>
    <t>07203</t>
  </si>
  <si>
    <t>Januario De Jesus</t>
  </si>
  <si>
    <t>04765</t>
  </si>
  <si>
    <t>Jeandson Santos E Santos</t>
  </si>
  <si>
    <t>07190</t>
  </si>
  <si>
    <t>Joanderson Silva Vieira</t>
  </si>
  <si>
    <t>03703</t>
  </si>
  <si>
    <t>Luis Santos Goncalves</t>
  </si>
  <si>
    <t>07110</t>
  </si>
  <si>
    <t>Luiz Felipe Oliveira Lima</t>
  </si>
  <si>
    <t>07105</t>
  </si>
  <si>
    <t>Moises Santos De Brito</t>
  </si>
  <si>
    <t>04896</t>
  </si>
  <si>
    <t>Reginaldo Da Conceicao Estevos</t>
  </si>
  <si>
    <t>01190</t>
  </si>
  <si>
    <t>Adailton Da Anunciacao Santos Carvalho</t>
  </si>
  <si>
    <t>Pasteurizacao</t>
  </si>
  <si>
    <t>04218</t>
  </si>
  <si>
    <t>Leonilson Dos Santos Bento</t>
  </si>
  <si>
    <t>03230</t>
  </si>
  <si>
    <t>Ubiraci Machado Dos Santos</t>
  </si>
  <si>
    <t>04933</t>
  </si>
  <si>
    <t>Vivaldo Da Anunciacao Oliveira</t>
  </si>
  <si>
    <t>04721</t>
  </si>
  <si>
    <t>Carlos Eduardo Silva De Oliveira</t>
  </si>
  <si>
    <t>Portaria/Vigilancia</t>
  </si>
  <si>
    <t>03396</t>
  </si>
  <si>
    <t>Cesar Augusto Lopes Dos Santos</t>
  </si>
  <si>
    <t>01286</t>
  </si>
  <si>
    <t>Josevaldo Dias Do Carmo</t>
  </si>
  <si>
    <t>03440</t>
  </si>
  <si>
    <t>Vitoriano Bispo Dos Santos Filho</t>
  </si>
  <si>
    <t>07221</t>
  </si>
  <si>
    <t>Davidson Patrick Oliveira Albuquerque</t>
  </si>
  <si>
    <t>Producao De Bebida Mista</t>
  </si>
  <si>
    <t>07133</t>
  </si>
  <si>
    <t>Gerlane Dos Santos De Jesus</t>
  </si>
  <si>
    <t>07134</t>
  </si>
  <si>
    <t>Jeniaria Reis Ribeiro</t>
  </si>
  <si>
    <t>05019</t>
  </si>
  <si>
    <t>Juliana De Jesus Lacerda Costa</t>
  </si>
  <si>
    <t>04592</t>
  </si>
  <si>
    <t>Karina De Jesus Santos</t>
  </si>
  <si>
    <t>07136</t>
  </si>
  <si>
    <t>Laina Thailine Conceicao Costa</t>
  </si>
  <si>
    <t>06094</t>
  </si>
  <si>
    <t>Leidivan Matos Dona</t>
  </si>
  <si>
    <t>07156</t>
  </si>
  <si>
    <t>Luis Gustavo Almeida Dos Santos</t>
  </si>
  <si>
    <t>04669</t>
  </si>
  <si>
    <t>Marcio Jesus Da Silva</t>
  </si>
  <si>
    <t>04929</t>
  </si>
  <si>
    <t>Mauricio Brito Do Nascimento</t>
  </si>
  <si>
    <t>07228</t>
  </si>
  <si>
    <t>Natiele De Jesus Moreira</t>
  </si>
  <si>
    <t>07252</t>
  </si>
  <si>
    <t>Otaiane Freitas Teixeira</t>
  </si>
  <si>
    <t>07262</t>
  </si>
  <si>
    <t>Patricia Amorim Pinheiro Santos</t>
  </si>
  <si>
    <t>07227</t>
  </si>
  <si>
    <t>Raquel Silva De Souza Oliveira</t>
  </si>
  <si>
    <t>07222</t>
  </si>
  <si>
    <t>Vinicius Oliveira Araujo</t>
  </si>
  <si>
    <t>01743</t>
  </si>
  <si>
    <t>Adriana De Jesus Lacerda Costa</t>
  </si>
  <si>
    <t>Producao De Polpa</t>
  </si>
  <si>
    <t>04551</t>
  </si>
  <si>
    <t>Alexandre Santos Da Silva</t>
  </si>
  <si>
    <t>07129</t>
  </si>
  <si>
    <t>Aline Da Silva Carneiro</t>
  </si>
  <si>
    <t>02797</t>
  </si>
  <si>
    <t>Ana Leide Vieira Dos Santos</t>
  </si>
  <si>
    <t>04519</t>
  </si>
  <si>
    <t>Carlos De Jesus Dos Santos</t>
  </si>
  <si>
    <t>01908</t>
  </si>
  <si>
    <t>Celeste Borges Araujo Dos Santos</t>
  </si>
  <si>
    <t>01751</t>
  </si>
  <si>
    <t>Crispiniana Oliveira Da Silva</t>
  </si>
  <si>
    <t>02276</t>
  </si>
  <si>
    <t>Edilma Dos Santos Brito</t>
  </si>
  <si>
    <t>02388</t>
  </si>
  <si>
    <t>Edison De Jesus Santos</t>
  </si>
  <si>
    <t>03225</t>
  </si>
  <si>
    <t>Edivan De Souza Silva</t>
  </si>
  <si>
    <t>02841</t>
  </si>
  <si>
    <t>Eliana Silva De Araujo</t>
  </si>
  <si>
    <t>02884</t>
  </si>
  <si>
    <t>Elias De Souza Nascimento</t>
  </si>
  <si>
    <t>00839</t>
  </si>
  <si>
    <t>Elizete Silva Amorim</t>
  </si>
  <si>
    <t>06088</t>
  </si>
  <si>
    <t>Eron Santos Pereira</t>
  </si>
  <si>
    <t>07009</t>
  </si>
  <si>
    <t>Gabriel Das Virgens Oliveira</t>
  </si>
  <si>
    <t>07261</t>
  </si>
  <si>
    <t>Gabriela Do Nascimento Rodrigues</t>
  </si>
  <si>
    <t>04701</t>
  </si>
  <si>
    <t>Joaby Blois Gomes</t>
  </si>
  <si>
    <t>07229</t>
  </si>
  <si>
    <t>Juanina Da Cruz Freitas</t>
  </si>
  <si>
    <t>03473</t>
  </si>
  <si>
    <t>Juci De Jesus Costa Ribeiro</t>
  </si>
  <si>
    <t>04084</t>
  </si>
  <si>
    <t>Julio Rodrigues Da Silva</t>
  </si>
  <si>
    <t>04593</t>
  </si>
  <si>
    <t>Leidiane De Sousa Santos</t>
  </si>
  <si>
    <t>04039</t>
  </si>
  <si>
    <t>Lilia Porto Dos Santos</t>
  </si>
  <si>
    <t>04461</t>
  </si>
  <si>
    <t>Luciana Souza Santos</t>
  </si>
  <si>
    <t>03530</t>
  </si>
  <si>
    <t>Luciene Correia Santos</t>
  </si>
  <si>
    <t>04997</t>
  </si>
  <si>
    <t>Lucieuda De Oliveira Rodrigues</t>
  </si>
  <si>
    <t>00695</t>
  </si>
  <si>
    <t>Luzinalva Araujo Dos Santos</t>
  </si>
  <si>
    <t>02848</t>
  </si>
  <si>
    <t>Marciene De Jesus Santos</t>
  </si>
  <si>
    <t>01807</t>
  </si>
  <si>
    <t>Maria Angela Borges Dos Santos</t>
  </si>
  <si>
    <t>00349</t>
  </si>
  <si>
    <t>Maria Da Conceicao De Jesus Moreira</t>
  </si>
  <si>
    <t>01270</t>
  </si>
  <si>
    <t>Maria De Lourdes Gonzaga De Jesus</t>
  </si>
  <si>
    <t>03245</t>
  </si>
  <si>
    <t>Maria Rita Dos Santos Reis</t>
  </si>
  <si>
    <t>03264</t>
  </si>
  <si>
    <t>Marilene De Souza Oliveira Alves</t>
  </si>
  <si>
    <t>04325</t>
  </si>
  <si>
    <t>Marinalva Teixeira De Jesus</t>
  </si>
  <si>
    <t>07130</t>
  </si>
  <si>
    <t>Naiane Santos De Santana</t>
  </si>
  <si>
    <t>04601</t>
  </si>
  <si>
    <t>Nilzete Figueiredo Da Silva</t>
  </si>
  <si>
    <t>01432</t>
  </si>
  <si>
    <t>Nilzete Santos De Jesus</t>
  </si>
  <si>
    <t>07065</t>
  </si>
  <si>
    <t>Norberto Da Silva Oliveira</t>
  </si>
  <si>
    <t>03875</t>
  </si>
  <si>
    <t>Rafael De Jesus Costa Ribeiro Reis</t>
  </si>
  <si>
    <t>07121</t>
  </si>
  <si>
    <t>Ranielli Mikaella Da Silva Ribeiro</t>
  </si>
  <si>
    <t>01837</t>
  </si>
  <si>
    <t>Regina Oliveira Dos Santos</t>
  </si>
  <si>
    <t>01772</t>
  </si>
  <si>
    <t>Rosangela Do Espirito Santo Borges</t>
  </si>
  <si>
    <t>07253</t>
  </si>
  <si>
    <t>Rosislane De Souza Marques</t>
  </si>
  <si>
    <t>01509</t>
  </si>
  <si>
    <t>Silvia Maria Bastos Dos Santos</t>
  </si>
  <si>
    <t>01271</t>
  </si>
  <si>
    <t>Simone Santana De Jesus</t>
  </si>
  <si>
    <t>04471</t>
  </si>
  <si>
    <t>Tatiane Amorim Dos Santos</t>
  </si>
  <si>
    <t>04096</t>
  </si>
  <si>
    <t>Telma Ribeiro Costa</t>
  </si>
  <si>
    <t>00292</t>
  </si>
  <si>
    <t>Mario De Oliveira Gomes</t>
  </si>
  <si>
    <t>Producao De Polpa Quilo</t>
  </si>
  <si>
    <t>07126</t>
  </si>
  <si>
    <t>Alex Menezes Da Silva</t>
  </si>
  <si>
    <t>Producao Polpa Assistencia</t>
  </si>
  <si>
    <t>07278</t>
  </si>
  <si>
    <t>Andre Dilson Pereira De Santana</t>
  </si>
  <si>
    <t>02798</t>
  </si>
  <si>
    <t>Bernardino De Jesus Miranda</t>
  </si>
  <si>
    <t>07137</t>
  </si>
  <si>
    <t>Breno Ferreira Cardoso</t>
  </si>
  <si>
    <t>07270</t>
  </si>
  <si>
    <t>Carlos Andre Pereira Gomes Porto</t>
  </si>
  <si>
    <t>07225</t>
  </si>
  <si>
    <t>Edielson Gama De Souza</t>
  </si>
  <si>
    <t>07273</t>
  </si>
  <si>
    <t>Emerson Joaquim Costa De Carvalho</t>
  </si>
  <si>
    <t>07254</t>
  </si>
  <si>
    <t>Hiago Alisson Oliveira Pereira</t>
  </si>
  <si>
    <t>07255</t>
  </si>
  <si>
    <t>Ian Bastos De Oliveira</t>
  </si>
  <si>
    <t>07212</t>
  </si>
  <si>
    <t>Joadson De Jesus Oliveira</t>
  </si>
  <si>
    <t>04369</t>
  </si>
  <si>
    <t>Joilson Coutinho Virginio</t>
  </si>
  <si>
    <t>07217</t>
  </si>
  <si>
    <t>Jonas Dos Santos Alves</t>
  </si>
  <si>
    <t>07256</t>
  </si>
  <si>
    <t>Kaio Ferreira Dos Santos</t>
  </si>
  <si>
    <t>06020</t>
  </si>
  <si>
    <t>Luan Cerqueira Dos Santos</t>
  </si>
  <si>
    <t>04634</t>
  </si>
  <si>
    <t>Luciano Vilas Boas Santana</t>
  </si>
  <si>
    <t>07213</t>
  </si>
  <si>
    <t>Mateus Ferreira Moreira</t>
  </si>
  <si>
    <t>07275</t>
  </si>
  <si>
    <t>Ramon Cardoso Dos Santos</t>
  </si>
  <si>
    <t>00697</t>
  </si>
  <si>
    <t>Ana Maria De Jesus Santos</t>
  </si>
  <si>
    <t>Producao Polpa Quilo Assistencia</t>
  </si>
  <si>
    <t>07214</t>
  </si>
  <si>
    <t>Cleiton Dos Santos Cruz</t>
  </si>
  <si>
    <t>01553</t>
  </si>
  <si>
    <t>Crispiniana De Jesus Santos</t>
  </si>
  <si>
    <t>04570</t>
  </si>
  <si>
    <t>Luiz Fonseca Carneiro</t>
  </si>
  <si>
    <t>01422</t>
  </si>
  <si>
    <t>Maria Do Socorro Lima</t>
  </si>
  <si>
    <t>01424</t>
  </si>
  <si>
    <t>Maria Helena Silva Santos</t>
  </si>
  <si>
    <t>07188</t>
  </si>
  <si>
    <t>Alanda De Jesus Ribeiro</t>
  </si>
  <si>
    <t>Refeitorio</t>
  </si>
  <si>
    <t>07187</t>
  </si>
  <si>
    <t>Ana Caroline Ferreira Alves</t>
  </si>
  <si>
    <t>03647</t>
  </si>
  <si>
    <t>Hosana De Jesus Silva</t>
  </si>
  <si>
    <t>04566</t>
  </si>
  <si>
    <t>Jose Antonio Da Silva</t>
  </si>
  <si>
    <t>04423</t>
  </si>
  <si>
    <t>Lucitania Da Cruz Cerqueira Santos</t>
  </si>
  <si>
    <t>03648</t>
  </si>
  <si>
    <t>Lucivaldo Dos Santos Lima</t>
  </si>
  <si>
    <t>01139</t>
  </si>
  <si>
    <t>Marisa Ribeiro Da Cruz</t>
  </si>
  <si>
    <t>06000</t>
  </si>
  <si>
    <t>Matheus Santos Da Silva</t>
  </si>
  <si>
    <t>06026</t>
  </si>
  <si>
    <t>Priscila Rabello Silva Bomfim</t>
  </si>
  <si>
    <t>07097</t>
  </si>
  <si>
    <t>Rosane Pereira Souza Venas</t>
  </si>
  <si>
    <t>04144</t>
  </si>
  <si>
    <t>Roseli Do Espirito Santo Borges Oliveira</t>
  </si>
  <si>
    <t>01348</t>
  </si>
  <si>
    <t>Albino Lacerda Da Silva</t>
  </si>
  <si>
    <t>Transporte De Mercadorias</t>
  </si>
  <si>
    <t>03740</t>
  </si>
  <si>
    <t>Alexandro Trajano Da Silva</t>
  </si>
  <si>
    <t>04063</t>
  </si>
  <si>
    <t>Alison Silva De Oliveira</t>
  </si>
  <si>
    <t>01349</t>
  </si>
  <si>
    <t>Aloizio Dos Santos Ramos</t>
  </si>
  <si>
    <t>04536</t>
  </si>
  <si>
    <t>Antonio Carlos Mota</t>
  </si>
  <si>
    <t>07219</t>
  </si>
  <si>
    <t>Christyan Dos Santos Oliveira Pinho</t>
  </si>
  <si>
    <t>06084</t>
  </si>
  <si>
    <t>Daniel Dos Santos Pinheiro</t>
  </si>
  <si>
    <t>07141</t>
  </si>
  <si>
    <t>Edvaldo De Souza Teles Filho</t>
  </si>
  <si>
    <t>07220</t>
  </si>
  <si>
    <t>Elenilson Paixao Dos Santos</t>
  </si>
  <si>
    <t>04055</t>
  </si>
  <si>
    <t>Giovani De Jesus Santos</t>
  </si>
  <si>
    <t>01449</t>
  </si>
  <si>
    <t>Joao Eudes Santa Barbara Araujo</t>
  </si>
  <si>
    <t>07199</t>
  </si>
  <si>
    <t>Jorge Welington Pereira Lopes Junior</t>
  </si>
  <si>
    <t>04725</t>
  </si>
  <si>
    <t>Jose Dos Santos Junior</t>
  </si>
  <si>
    <t>07022</t>
  </si>
  <si>
    <t>Jose Dos Santos Oliveira</t>
  </si>
  <si>
    <t>05081</t>
  </si>
  <si>
    <t>Jose Eduardo Santana De Carvalho</t>
  </si>
  <si>
    <t>07197</t>
  </si>
  <si>
    <t>Jose Venancio De Jesus Machado</t>
  </si>
  <si>
    <t>05043</t>
  </si>
  <si>
    <t>Kaique Machado Da Silva</t>
  </si>
  <si>
    <t>07006</t>
  </si>
  <si>
    <t>Leandro Do Nascimento Menezes</t>
  </si>
  <si>
    <t>04558</t>
  </si>
  <si>
    <t>Lilia Oliveira Dos Santos</t>
  </si>
  <si>
    <t>03443</t>
  </si>
  <si>
    <t>Lourisvaldo Carvalho Ferreira</t>
  </si>
  <si>
    <t>04525</t>
  </si>
  <si>
    <t>Luciano Dias Do Carmo</t>
  </si>
  <si>
    <t>07122</t>
  </si>
  <si>
    <t>Luciano Dos Santos Oliveira</t>
  </si>
  <si>
    <t>04506</t>
  </si>
  <si>
    <t>Lucio Carlos Dos Santos Nascimento</t>
  </si>
  <si>
    <t>04403</t>
  </si>
  <si>
    <t>Luis Silva De Jesus</t>
  </si>
  <si>
    <t>07198</t>
  </si>
  <si>
    <t>Ralf Rabello Silva Bomfim</t>
  </si>
  <si>
    <t>02458</t>
  </si>
  <si>
    <t>Reinivaldo De Jesus</t>
  </si>
  <si>
    <t>03729</t>
  </si>
  <si>
    <t>Roque Teixeira Dos Santos</t>
  </si>
  <si>
    <t>04168</t>
  </si>
  <si>
    <t>Valdir De Carvalho Pinheiro</t>
  </si>
  <si>
    <t>05047</t>
  </si>
  <si>
    <t>Vanessa Ribeiro Santos</t>
  </si>
  <si>
    <t>04927</t>
  </si>
  <si>
    <t>Vinicio Silva Pereira</t>
  </si>
  <si>
    <t>04632</t>
  </si>
  <si>
    <t>Adalberto De Jesus Silva</t>
  </si>
  <si>
    <t>Transporte De Mercadorias Filial</t>
  </si>
  <si>
    <t>04416</t>
  </si>
  <si>
    <t>Altair Jose Santos Batista</t>
  </si>
  <si>
    <t>05077</t>
  </si>
  <si>
    <t>Emerson Santos Conceicao</t>
  </si>
  <si>
    <t>04004</t>
  </si>
  <si>
    <t>Fabio Da Cruz Santos</t>
  </si>
  <si>
    <t>07100</t>
  </si>
  <si>
    <t>Gabriel Oliveira Dos Santos</t>
  </si>
  <si>
    <t>04571</t>
  </si>
  <si>
    <t>Gilson Pereira Vitorio</t>
  </si>
  <si>
    <t>06029</t>
  </si>
  <si>
    <t>Gilton Luiz Santos De Matos</t>
  </si>
  <si>
    <t>06030</t>
  </si>
  <si>
    <t>Jonathan Ciro Conceicao De Lima</t>
  </si>
  <si>
    <t>05034</t>
  </si>
  <si>
    <t>Paulo Henrique Cordeiro Do Carmo</t>
  </si>
  <si>
    <t>04692</t>
  </si>
  <si>
    <t>Rafael Mendes Oliveira</t>
  </si>
  <si>
    <t>04708</t>
  </si>
  <si>
    <t>Robson Da Cruz De Jesus Lima</t>
  </si>
  <si>
    <t>03455</t>
  </si>
  <si>
    <t>Alfredo Marques Cerqueira Santana</t>
  </si>
  <si>
    <t>Utilidades</t>
  </si>
  <si>
    <t>01555</t>
  </si>
  <si>
    <t>Anselmo Araujo Dos Santos</t>
  </si>
  <si>
    <t>05017</t>
  </si>
  <si>
    <t>Daniel Souza Boaventura</t>
  </si>
  <si>
    <t>03102</t>
  </si>
  <si>
    <t>Diogo Ferreira De Oliveira Neto</t>
  </si>
  <si>
    <t>05011</t>
  </si>
  <si>
    <t>Edivando Santos De Jesus</t>
  </si>
  <si>
    <t>03792</t>
  </si>
  <si>
    <t>Jucelino Pereira Lopes</t>
  </si>
  <si>
    <t>04668</t>
  </si>
  <si>
    <t>Marcio Rosa Da Silva</t>
  </si>
  <si>
    <t>05016</t>
  </si>
  <si>
    <t>Paulo Wakson Souza Santana</t>
  </si>
  <si>
    <t>04707</t>
  </si>
  <si>
    <t>Rogerio Da Silva Santos</t>
  </si>
  <si>
    <t>06016</t>
  </si>
  <si>
    <t>Silas De Souza Alves</t>
  </si>
  <si>
    <t>02255</t>
  </si>
  <si>
    <t>Ubiratan Dos Santos Mendes</t>
  </si>
  <si>
    <t>01385</t>
  </si>
  <si>
    <t>Valeriano De Jesus Alves</t>
  </si>
  <si>
    <t>04926</t>
  </si>
  <si>
    <t>Alan Junio Da Silva</t>
  </si>
  <si>
    <t>Vendas</t>
  </si>
  <si>
    <t>07024</t>
  </si>
  <si>
    <t>Anderson Pires Costa</t>
  </si>
  <si>
    <t>04925</t>
  </si>
  <si>
    <t>Andrey Gomes Aragao Silva</t>
  </si>
  <si>
    <t>07265</t>
  </si>
  <si>
    <t>Claudio Batista Silva Dantas</t>
  </si>
  <si>
    <t>07173</t>
  </si>
  <si>
    <t>Danielle Barros Pereira</t>
  </si>
  <si>
    <t>07174</t>
  </si>
  <si>
    <t>Edgley Maciel Da Silva Barros</t>
  </si>
  <si>
    <t>05046</t>
  </si>
  <si>
    <t>Edmar Jeronimo Da Silva Araujo</t>
  </si>
  <si>
    <t>07164</t>
  </si>
  <si>
    <t>Eduardo Silva De Oliveira Filho</t>
  </si>
  <si>
    <t>03217</t>
  </si>
  <si>
    <t>Eliana Silva Rodrigues</t>
  </si>
  <si>
    <t>07094</t>
  </si>
  <si>
    <t>Gilberto Alves De Sousa</t>
  </si>
  <si>
    <t>03219</t>
  </si>
  <si>
    <t>Gilvan Dos Santos</t>
  </si>
  <si>
    <t>06007</t>
  </si>
  <si>
    <t>Hugo Alves Dos Santos</t>
  </si>
  <si>
    <t>04967</t>
  </si>
  <si>
    <t>Iolanda Raquel Garcia Costa</t>
  </si>
  <si>
    <t>07259</t>
  </si>
  <si>
    <t>Janielle Mota Martins</t>
  </si>
  <si>
    <t>04986</t>
  </si>
  <si>
    <t>Joice Maria Dos Santos</t>
  </si>
  <si>
    <t>07081</t>
  </si>
  <si>
    <t>Jorge Moreno Da Silva</t>
  </si>
  <si>
    <t>04754</t>
  </si>
  <si>
    <t>Jose Cleidson Teixeira Da Silva</t>
  </si>
  <si>
    <t>04670</t>
  </si>
  <si>
    <t>Jose Ricardo Santos Portugal</t>
  </si>
  <si>
    <t>07204</t>
  </si>
  <si>
    <t>Jose Wilson Gomes Da Silva</t>
  </si>
  <si>
    <t>07258</t>
  </si>
  <si>
    <t>Josiano Costa Da Silva</t>
  </si>
  <si>
    <t>04382</t>
  </si>
  <si>
    <t>Jucelia De Jesus Marques</t>
  </si>
  <si>
    <t>07267</t>
  </si>
  <si>
    <t>Juliete De Souza Santos</t>
  </si>
  <si>
    <t>07264</t>
  </si>
  <si>
    <t>Juniclecio Santana Dias Dos Santos</t>
  </si>
  <si>
    <t>03486</t>
  </si>
  <si>
    <t>Leonardo Falconery Serafim</t>
  </si>
  <si>
    <t>07099</t>
  </si>
  <si>
    <t>Lucas Soares Dos Santos</t>
  </si>
  <si>
    <t>07023</t>
  </si>
  <si>
    <t>Maico Coelho Santos</t>
  </si>
  <si>
    <t>04715</t>
  </si>
  <si>
    <t>Marcia Cledina Fernandes De Paiva</t>
  </si>
  <si>
    <t>04968</t>
  </si>
  <si>
    <t>Mauro Gavazzoni</t>
  </si>
  <si>
    <t>03447</t>
  </si>
  <si>
    <t>Meire Reijane Vitorio De Jesus</t>
  </si>
  <si>
    <t>04628</t>
  </si>
  <si>
    <t>Nestor Guedes De Moura Junior</t>
  </si>
  <si>
    <t>04766</t>
  </si>
  <si>
    <t>Olayr Lopes Reboucas</t>
  </si>
  <si>
    <t>04895</t>
  </si>
  <si>
    <t>Pabiane Batista De Souza De Santiago</t>
  </si>
  <si>
    <t>07085</t>
  </si>
  <si>
    <t>Paulo Phelipe Da Silva Ferreira</t>
  </si>
  <si>
    <t>07206</t>
  </si>
  <si>
    <t>Rebeca Thayse Leal Salustiano</t>
  </si>
  <si>
    <t>04389</t>
  </si>
  <si>
    <t>Rosenir Do Nascimento Silva Rosendo</t>
  </si>
  <si>
    <t>04192</t>
  </si>
  <si>
    <t>Rosiene Vieira Silva</t>
  </si>
  <si>
    <t>04210</t>
  </si>
  <si>
    <t>Sarajane Maria Da Silva</t>
  </si>
  <si>
    <t>07076</t>
  </si>
  <si>
    <t>Tiago Souza Bezerra</t>
  </si>
  <si>
    <t>02819</t>
  </si>
  <si>
    <t>Valdeilson Gomes De Santiago</t>
  </si>
  <si>
    <t>04099</t>
  </si>
  <si>
    <t>Veronica Silva Santos</t>
  </si>
  <si>
    <t>07231</t>
  </si>
  <si>
    <t>Abilio Antonio Batista Teixeira</t>
  </si>
  <si>
    <t>Vendas Ssa</t>
  </si>
  <si>
    <t>04626</t>
  </si>
  <si>
    <t>Andre Luis Dos Santos Rosa</t>
  </si>
  <si>
    <t>07268</t>
  </si>
  <si>
    <t>Antonio Marcos Oliveira Da Silva</t>
  </si>
  <si>
    <t>04556</t>
  </si>
  <si>
    <t>Bruno Da Silva Santos</t>
  </si>
  <si>
    <t>04978</t>
  </si>
  <si>
    <t>Claudio Jose Ernesto Ehl</t>
  </si>
  <si>
    <t>04782</t>
  </si>
  <si>
    <t>Cosme Maia Dos Santos</t>
  </si>
  <si>
    <t>04918</t>
  </si>
  <si>
    <t>Diego De Sousa Farias</t>
  </si>
  <si>
    <t>07260</t>
  </si>
  <si>
    <t>Edenilson Cerqueira Novais</t>
  </si>
  <si>
    <t>04002</t>
  </si>
  <si>
    <t>Elian Silva De Souza</t>
  </si>
  <si>
    <t>05076</t>
  </si>
  <si>
    <t>Etevaldo Barbosa Dos Santos</t>
  </si>
  <si>
    <t>04625</t>
  </si>
  <si>
    <t>Felipe Salgado Da Silva</t>
  </si>
  <si>
    <t>07019</t>
  </si>
  <si>
    <t>Ian Estrela Coelho</t>
  </si>
  <si>
    <t>04694</t>
  </si>
  <si>
    <t>Icaro Costa Lima</t>
  </si>
  <si>
    <t>05008</t>
  </si>
  <si>
    <t>Iracema Braga De Jesus Fonseca</t>
  </si>
  <si>
    <t>05045</t>
  </si>
  <si>
    <t>Jadson Santana Rodrigues</t>
  </si>
  <si>
    <t>04948</t>
  </si>
  <si>
    <t>Jailson Dos Santos</t>
  </si>
  <si>
    <t>05023</t>
  </si>
  <si>
    <t>Jailton Santos De Sousa</t>
  </si>
  <si>
    <t>06008</t>
  </si>
  <si>
    <t>Jenilson Silva De Souza</t>
  </si>
  <si>
    <t>04394</t>
  </si>
  <si>
    <t>Jhone Santos Santiago</t>
  </si>
  <si>
    <t>04944</t>
  </si>
  <si>
    <t>Lenine Mateus Batista Martins</t>
  </si>
  <si>
    <t>04906</t>
  </si>
  <si>
    <t>Manoel Cerqueira Dos Santos</t>
  </si>
  <si>
    <t>04629</t>
  </si>
  <si>
    <t>Marcos Carneiro De Oliveira</t>
  </si>
  <si>
    <t>04770</t>
  </si>
  <si>
    <t>Matheus Jose Oliveira De Jesus</t>
  </si>
  <si>
    <t>07186</t>
  </si>
  <si>
    <t>Mauricio De Jesus Santos</t>
  </si>
  <si>
    <t>04523</t>
  </si>
  <si>
    <t>Paulo Sergio Teixeira De Jesus</t>
  </si>
  <si>
    <t>05005</t>
  </si>
  <si>
    <t>Simone Silva Pimentel</t>
  </si>
  <si>
    <t>07175</t>
  </si>
  <si>
    <t>Tacio Pinto Batista</t>
  </si>
  <si>
    <t>05032</t>
  </si>
  <si>
    <t>Thiago Silva Santos</t>
  </si>
  <si>
    <t>04292</t>
  </si>
  <si>
    <t>Vanda Dos Santos Souza</t>
  </si>
  <si>
    <t>03760</t>
  </si>
  <si>
    <t>Vera Helena Moreira</t>
  </si>
  <si>
    <t>05075</t>
  </si>
  <si>
    <t>Yan Vitor Rios Machado</t>
  </si>
  <si>
    <t>00986</t>
  </si>
  <si>
    <t>Adailton Almeida Amorim</t>
  </si>
  <si>
    <t>Xaroparia</t>
  </si>
  <si>
    <t>04989</t>
  </si>
  <si>
    <t>Antonio Carlos Andrade Almeida</t>
  </si>
  <si>
    <t>07033</t>
  </si>
  <si>
    <t>Edilson Dos Ramos</t>
  </si>
  <si>
    <t>07179</t>
  </si>
  <si>
    <t>Francisco Alves Da Silva Neto</t>
  </si>
  <si>
    <t>07216</t>
  </si>
  <si>
    <t>Isaque Dos Santos Silva Conceicao</t>
  </si>
  <si>
    <t>07210</t>
  </si>
  <si>
    <t>Jaircledison Dos Santos Porto</t>
  </si>
  <si>
    <t>04736</t>
  </si>
  <si>
    <t>Jurandi Alves Pereira</t>
  </si>
  <si>
    <t>07230</t>
  </si>
  <si>
    <t>Luan Santos De Jesus</t>
  </si>
  <si>
    <t>00188</t>
  </si>
  <si>
    <t>Marivaldo Rocha Dos Santos</t>
  </si>
  <si>
    <t>07181</t>
  </si>
  <si>
    <t>Paulo Ricardo Silva De Oliveira</t>
  </si>
  <si>
    <t>07127</t>
  </si>
  <si>
    <t>Vagner De Jesus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</si>
</sst>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"/>
    <numFmt numFmtId="165" formatCode="h:mm:ss;@"/>
    <numFmt numFmtId="166" formatCode="[$-416]mmmm\-yyyy;@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New t"/>
    </font>
    <font>
      <b/>
      <sz val="12"/>
      <color theme="1"/>
      <name val="New t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51">
    <xf numFmtId="0" fontId="0" fillId="0" borderId="0" xfId="0"/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/>
    </xf>
    <xf numFmtId="0" fontId="0" fillId="0" borderId="12" xfId="0" applyBorder="1"/>
    <xf numFmtId="0" fontId="6" fillId="0" borderId="0" xfId="1" applyAlignment="1">
      <alignment horizontal="left" vertical="top"/>
    </xf>
    <xf numFmtId="14" fontId="2" fillId="0" borderId="0" xfId="0" applyNumberFormat="1" applyFont="1" applyAlignment="1">
      <alignment vertical="top"/>
    </xf>
    <xf numFmtId="1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0" xfId="0" applyNumberFormat="1"/>
    <xf numFmtId="164" fontId="7" fillId="0" borderId="9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12" xfId="0" applyFont="1" applyBorder="1"/>
    <xf numFmtId="0" fontId="1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4" fontId="2" fillId="0" borderId="5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41949AB1-CF33-4B40-BDEB-93708E8E4AA0}">
      <tableStyleElement type="wholeTable" dxfId="12"/>
      <tableStyleElement type="headerRow" dxfId="1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304232</xdr:colOff>
      <xdr:row>5</xdr:row>
      <xdr:rowOff>0</xdr:rowOff>
    </xdr:from>
    <xdr:to>
      <xdr:col>6</xdr:col>
      <xdr:colOff>294707</xdr:colOff>
      <xdr:row>8</xdr:row>
      <xdr:rowOff>10637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8A38C2-F867-4CFD-B07A-F39AF4503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47" t="54768" r="23512"/>
        <a:stretch/>
      </xdr:blipFill>
      <xdr:spPr>
        <a:xfrm>
          <a:off x="304232" y="952500"/>
          <a:ext cx="3648075" cy="582137"/>
        </a:xfrm>
        <a:prstGeom prst="rect">
          <a:avLst/>
        </a:prstGeom>
      </xdr:spPr>
    </xdr:pic>
    <xdr:clientData/>
  </xdr:twoCellAnchor>
  <xdr:twoCellAnchor editAs="oneCell">
    <xdr:from>
      <xdr:col>0</xdr:col>
      <xdr:colOff>204219</xdr:colOff>
      <xdr:row>10</xdr:row>
      <xdr:rowOff>39756</xdr:rowOff>
    </xdr:from>
    <xdr:to>
      <xdr:col>6</xdr:col>
      <xdr:colOff>394719</xdr:colOff>
      <xdr:row>14</xdr:row>
      <xdr:rowOff>72932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867D34-E5E4-4AB4-870C-5EDF7823C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7" r="22304"/>
        <a:stretch/>
      </xdr:blipFill>
      <xdr:spPr>
        <a:xfrm>
          <a:off x="204219" y="1895060"/>
          <a:ext cx="3848100" cy="775298"/>
        </a:xfrm>
        <a:prstGeom prst="rect">
          <a:avLst/>
        </a:prstGeom>
      </xdr:spPr>
    </xdr:pic>
    <xdr:clientData/>
  </xdr:twoCellAnchor>
  <xdr:twoCellAnchor editAs="oneCell">
    <xdr:from>
      <xdr:col>0</xdr:col>
      <xdr:colOff>582113</xdr:colOff>
      <xdr:row>16</xdr:row>
      <xdr:rowOff>85310</xdr:rowOff>
    </xdr:from>
    <xdr:to>
      <xdr:col>6</xdr:col>
      <xdr:colOff>16825</xdr:colOff>
      <xdr:row>19</xdr:row>
      <xdr:rowOff>137490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C6F676-650A-4176-90C4-396EB58BD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28"/>
        <a:stretch/>
      </xdr:blipFill>
      <xdr:spPr>
        <a:xfrm>
          <a:off x="582113" y="3053797"/>
          <a:ext cx="3092312" cy="608771"/>
        </a:xfrm>
        <a:prstGeom prst="rect">
          <a:avLst/>
        </a:prstGeom>
      </xdr:spPr>
    </xdr:pic>
    <xdr:clientData/>
  </xdr:twoCellAnchor>
  <xdr:twoCellAnchor editAs="oneCell">
    <xdr:from>
      <xdr:col>0</xdr:col>
      <xdr:colOff>147069</xdr:colOff>
      <xdr:row>22</xdr:row>
      <xdr:rowOff>85723</xdr:rowOff>
    </xdr:from>
    <xdr:to>
      <xdr:col>6</xdr:col>
      <xdr:colOff>451869</xdr:colOff>
      <xdr:row>25</xdr:row>
      <xdr:rowOff>98465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6078C62-A63E-4424-A7E6-2F76AC081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88"/>
        <a:stretch/>
      </xdr:blipFill>
      <xdr:spPr>
        <a:xfrm>
          <a:off x="147069" y="4167393"/>
          <a:ext cx="3962400" cy="569333"/>
        </a:xfrm>
        <a:prstGeom prst="rect">
          <a:avLst/>
        </a:prstGeom>
      </xdr:spPr>
    </xdr:pic>
    <xdr:clientData/>
  </xdr:twoCellAnchor>
  <xdr:oneCellAnchor>
    <xdr:from>
      <xdr:col>0</xdr:col>
      <xdr:colOff>6626</xdr:colOff>
      <xdr:row>0</xdr:row>
      <xdr:rowOff>95250</xdr:rowOff>
    </xdr:from>
    <xdr:ext cx="993499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93D2EE1-1CED-44B9-BA7E-9EB18C812301}"/>
            </a:ext>
          </a:extLst>
        </xdr:cNvPr>
        <xdr:cNvSpPr txBox="1"/>
      </xdr:nvSpPr>
      <xdr:spPr>
        <a:xfrm>
          <a:off x="6626" y="95250"/>
          <a:ext cx="9934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Colaborador:</a:t>
          </a:r>
        </a:p>
      </xdr:txBody>
    </xdr:sp>
    <xdr:clientData/>
  </xdr:oneCellAnchor>
  <xdr:twoCellAnchor>
    <xdr:from>
      <xdr:col>1</xdr:col>
      <xdr:colOff>277053</xdr:colOff>
      <xdr:row>1</xdr:row>
      <xdr:rowOff>123825</xdr:rowOff>
    </xdr:from>
    <xdr:to>
      <xdr:col>6</xdr:col>
      <xdr:colOff>134178</xdr:colOff>
      <xdr:row>1</xdr:row>
      <xdr:rowOff>133350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EB4AD3E-E6C0-443E-AB1B-51F3B70655D4}"/>
            </a:ext>
          </a:extLst>
        </xdr:cNvPr>
        <xdr:cNvCxnSpPr/>
      </xdr:nvCxnSpPr>
      <xdr:spPr>
        <a:xfrm>
          <a:off x="886653" y="309355"/>
          <a:ext cx="29051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103016</xdr:colOff>
      <xdr:row>28</xdr:row>
      <xdr:rowOff>173515</xdr:rowOff>
    </xdr:from>
    <xdr:to>
      <xdr:col>6</xdr:col>
      <xdr:colOff>495923</xdr:colOff>
      <xdr:row>32</xdr:row>
      <xdr:rowOff>109876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F68B8CC-D8E3-4E6E-BDE2-488E2E1C2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" r="294"/>
        <a:stretch/>
      </xdr:blipFill>
      <xdr:spPr>
        <a:xfrm>
          <a:off x="103016" y="5368367"/>
          <a:ext cx="4050507" cy="678483"/>
        </a:xfrm>
        <a:prstGeom prst="rect">
          <a:avLst/>
        </a:prstGeom>
      </xdr:spPr>
    </xdr:pic>
    <xdr:clientData/>
  </xdr:twoCellAnchor>
  <xdr:twoCellAnchor>
    <xdr:from>
      <xdr:col>0</xdr:col>
      <xdr:colOff>145774</xdr:colOff>
      <xdr:row>20</xdr:row>
      <xdr:rowOff>165649</xdr:rowOff>
    </xdr:from>
    <xdr:to>
      <xdr:col>6</xdr:col>
      <xdr:colOff>424070</xdr:colOff>
      <xdr:row>22</xdr:row>
      <xdr:rowOff>66258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48D154E-625D-4BAE-A951-508D0AFE7A68}"/>
            </a:ext>
          </a:extLst>
        </xdr:cNvPr>
        <xdr:cNvSpPr txBox="1"/>
      </xdr:nvSpPr>
      <xdr:spPr>
        <a:xfrm>
          <a:off x="145774" y="3876258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MATERIAIS</a:t>
          </a:r>
          <a:r>
            <a:rPr lang="pt-BR" sz="1100" u="sng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 PROMOCIONAIS</a:t>
          </a:r>
          <a:endParaRPr lang="pt-BR" sz="1100" u="sng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79514</xdr:colOff>
      <xdr:row>27</xdr:row>
      <xdr:rowOff>66255</xdr:rowOff>
    </xdr:from>
    <xdr:to>
      <xdr:col>6</xdr:col>
      <xdr:colOff>357810</xdr:colOff>
      <xdr:row>28</xdr:row>
      <xdr:rowOff>152395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C6802C1-A804-4515-B6CA-36C51920B4E4}"/>
            </a:ext>
          </a:extLst>
        </xdr:cNvPr>
        <xdr:cNvSpPr txBox="1"/>
      </xdr:nvSpPr>
      <xdr:spPr>
        <a:xfrm>
          <a:off x="79514" y="5075577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VEGETAIS</a:t>
          </a:r>
        </a:p>
      </xdr:txBody>
    </xdr:sp>
    <xdr:clientData/>
  </xdr:twoCellAnchor>
  <xdr:twoCellAnchor>
    <xdr:from>
      <xdr:col>0</xdr:col>
      <xdr:colOff>145774</xdr:colOff>
      <xdr:row>14</xdr:row>
      <xdr:rowOff>165650</xdr:rowOff>
    </xdr:from>
    <xdr:to>
      <xdr:col>6</xdr:col>
      <xdr:colOff>424070</xdr:colOff>
      <xdr:row>16</xdr:row>
      <xdr:rowOff>66259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8EF78B24-42ED-40C6-8EBF-F66035986C99}"/>
            </a:ext>
          </a:extLst>
        </xdr:cNvPr>
        <xdr:cNvSpPr txBox="1"/>
      </xdr:nvSpPr>
      <xdr:spPr>
        <a:xfrm>
          <a:off x="145774" y="2763076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NECTAR</a:t>
          </a:r>
        </a:p>
      </xdr:txBody>
    </xdr:sp>
    <xdr:clientData/>
  </xdr:twoCellAnchor>
  <xdr:twoCellAnchor>
    <xdr:from>
      <xdr:col>0</xdr:col>
      <xdr:colOff>218661</xdr:colOff>
      <xdr:row>8</xdr:row>
      <xdr:rowOff>145772</xdr:rowOff>
    </xdr:from>
    <xdr:to>
      <xdr:col>6</xdr:col>
      <xdr:colOff>496957</xdr:colOff>
      <xdr:row>10</xdr:row>
      <xdr:rowOff>46381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200D4943-AEAE-4493-9793-DF2FCFBC26CC}"/>
            </a:ext>
          </a:extLst>
        </xdr:cNvPr>
        <xdr:cNvSpPr txBox="1"/>
      </xdr:nvSpPr>
      <xdr:spPr>
        <a:xfrm>
          <a:off x="218661" y="1630015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SORBET E CREMES</a:t>
          </a:r>
        </a:p>
      </xdr:txBody>
    </xdr:sp>
    <xdr:clientData/>
  </xdr:twoCellAnchor>
  <xdr:twoCellAnchor>
    <xdr:from>
      <xdr:col>0</xdr:col>
      <xdr:colOff>245165</xdr:colOff>
      <xdr:row>3</xdr:row>
      <xdr:rowOff>72885</xdr:rowOff>
    </xdr:from>
    <xdr:to>
      <xdr:col>6</xdr:col>
      <xdr:colOff>523461</xdr:colOff>
      <xdr:row>4</xdr:row>
      <xdr:rowOff>159024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FC9EDFBD-8AFE-4AD1-9613-46AAA667F09B}"/>
            </a:ext>
          </a:extLst>
        </xdr:cNvPr>
        <xdr:cNvSpPr txBox="1"/>
      </xdr:nvSpPr>
      <xdr:spPr>
        <a:xfrm>
          <a:off x="245165" y="629476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POLPA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2286000</xdr:colOff>
      <xdr:row>6</xdr:row>
      <xdr:rowOff>197223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4C21BE-D393-49D4-AAE0-B79BCA09480E}"/>
            </a:ext>
          </a:extLst>
        </xdr:cNvPr>
        <xdr:cNvSpPr txBox="1"/>
      </xdr:nvSpPr>
      <xdr:spPr>
        <a:xfrm>
          <a:off x="2895600" y="133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19</xdr:col>
      <xdr:colOff>3157220</xdr:colOff>
      <xdr:row>0</xdr:row>
      <xdr:rowOff>205740</xdr:rowOff>
    </xdr:from>
    <xdr:to>
      <xdr:col>19</xdr:col>
      <xdr:colOff>3826174</xdr:colOff>
      <xdr:row>3</xdr:row>
      <xdr:rowOff>176091</xdr:rowOff>
    </xdr:to>
    <xdr:pic>
      <xdr:nvPicPr>
        <xdr:cNvPr id="3" name="image1.jpeg">
          <a:extLst>
            <a:ext uri="{FF2B5EF4-FFF2-40B4-BE49-F238E27FC236}">
              <a16:creationId xmlns:a16="http://schemas.microsoft.com/office/drawing/2014/main" id="{D3CA6AC2-14DB-4B87-AC4D-47DAADB15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3220" y="205740"/>
          <a:ext cx="668954" cy="694251"/>
        </a:xfrm>
        <a:prstGeom prst="rect">
          <a:avLst/>
        </a:prstGeom>
      </xdr:spPr>
    </xdr:pic>
    <xdr:clientData/>
  </xdr:two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F326DA1-F0D1-4493-AB33-6840A303FD63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A8AFC3F-BE03-469F-AEE0-1B93ADDF4AF2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E28FA0B-D6B4-4DC0-91BF-53DC1BA357DF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800BB8E-BA72-498D-AF1A-062853A462E4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4589326-8843-4148-92F4-10F015CD8DF0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7B4DDE3-89A5-453C-B709-3F1CD223D8E3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5</xdr:row>
      <xdr:rowOff>197223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AB8BFC6-C2AB-4469-905C-3BAAEFAA3C09}"/>
            </a:ext>
          </a:extLst>
        </xdr:cNvPr>
        <xdr:cNvSpPr txBox="1"/>
      </xdr:nvSpPr>
      <xdr:spPr>
        <a:xfrm>
          <a:off x="12092940" y="133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228600</xdr:colOff>
      <xdr:row>0</xdr:row>
      <xdr:rowOff>236220</xdr:rowOff>
    </xdr:from>
    <xdr:to>
      <xdr:col>7</xdr:col>
      <xdr:colOff>792480</xdr:colOff>
      <xdr:row>2</xdr:row>
      <xdr:rowOff>7620</xdr:rowOff>
    </xdr:to>
    <xdr:sp macro="" textlink="DADOS!C4">
      <xdr:nvSpPr>
        <xdr:cNvPr id="17" name="Retângulo 16">
          <a:extLst>
            <a:ext uri="{FF2B5EF4-FFF2-40B4-BE49-F238E27FC236}">
              <a16:creationId xmlns:a16="http://schemas.microsoft.com/office/drawing/2014/main" id="{B4AF2BA2-D2C4-476E-8335-FA3B5363CF3F}"/>
            </a:ext>
          </a:extLst>
        </xdr:cNvPr>
        <xdr:cNvSpPr/>
      </xdr:nvSpPr>
      <xdr:spPr>
        <a:xfrm>
          <a:off x="4701540" y="236220"/>
          <a:ext cx="176022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D6BC662-4824-4EB0-95F5-9C550A6181D3}" type="TxLink">
            <a:rPr lang="en-US" sz="1200" b="1" i="0" u="none" strike="noStrike" cap="all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/>
            <a:t>março-2026</a:t>
          </a:fld>
          <a:endParaRPr lang="pt-BR" sz="1200" b="1" cap="all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228600</xdr:colOff>
      <xdr:row>0</xdr:row>
      <xdr:rowOff>205740</xdr:rowOff>
    </xdr:from>
    <xdr:to>
      <xdr:col>11</xdr:col>
      <xdr:colOff>990600</xdr:colOff>
      <xdr:row>1</xdr:row>
      <xdr:rowOff>238760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997C931-3671-4350-8E3E-6A149D6FCB0A}"/>
            </a:ext>
          </a:extLst>
        </xdr:cNvPr>
        <xdr:cNvGrpSpPr/>
      </xdr:nvGrpSpPr>
      <xdr:grpSpPr>
        <a:xfrm>
          <a:off x="8420100" y="205740"/>
          <a:ext cx="1932214" cy="277949"/>
          <a:chOff x="8940800" y="180340"/>
          <a:chExt cx="1879600" cy="274320"/>
        </a:xfrm>
      </xdr:grpSpPr>
      <xdr:sp macro="" textlink="DADOS!C6">
        <xdr:nvSpPr>
          <xdr:cNvPr id="19" name="Retângulo 18">
            <a:extLst>
              <a:ext uri="{FF2B5EF4-FFF2-40B4-BE49-F238E27FC236}">
                <a16:creationId xmlns:a16="http://schemas.microsoft.com/office/drawing/2014/main" id="{917C8106-6C7F-4D5F-B445-665FAEFE3FB4}"/>
              </a:ext>
            </a:extLst>
          </xdr:cNvPr>
          <xdr:cNvSpPr/>
        </xdr:nvSpPr>
        <xdr:spPr>
          <a:xfrm>
            <a:off x="10007600" y="208280"/>
            <a:ext cx="812800" cy="236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B8AB3CA-FFAE-4A98-8C67-36FE743B2785}" type="TxLink">
              <a:rPr lang="en-US" sz="1200" b="0" i="0" u="none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l"/>
              <a:t>14:17:46</a:t>
            </a:fld>
            <a:endParaRPr lang="pt-BR" sz="12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D82660D9-F638-407E-B3C5-42610A8683A6}"/>
              </a:ext>
            </a:extLst>
          </xdr:cNvPr>
          <xdr:cNvGrpSpPr/>
        </xdr:nvGrpSpPr>
        <xdr:grpSpPr>
          <a:xfrm>
            <a:off x="8940800" y="180340"/>
            <a:ext cx="1346200" cy="274320"/>
            <a:chOff x="8940800" y="180340"/>
            <a:chExt cx="1346200" cy="274320"/>
          </a:xfrm>
        </xdr:grpSpPr>
        <xdr:sp macro="" textlink="DADOS!C5">
          <xdr:nvSpPr>
            <xdr:cNvPr id="18" name="Retângulo 17">
              <a:extLst>
                <a:ext uri="{FF2B5EF4-FFF2-40B4-BE49-F238E27FC236}">
                  <a16:creationId xmlns:a16="http://schemas.microsoft.com/office/drawing/2014/main" id="{6D25B2F2-BC1F-48D0-93A0-30A03F50FA75}"/>
                </a:ext>
              </a:extLst>
            </xdr:cNvPr>
            <xdr:cNvSpPr/>
          </xdr:nvSpPr>
          <xdr:spPr>
            <a:xfrm>
              <a:off x="9245600" y="218440"/>
              <a:ext cx="1041400" cy="23622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DADOS!C5">
          <xdr:nvSpPr>
            <xdr:cNvPr id="20" name="Retângulo 19">
              <a:extLst>
                <a:ext uri="{FF2B5EF4-FFF2-40B4-BE49-F238E27FC236}">
                  <a16:creationId xmlns:a16="http://schemas.microsoft.com/office/drawing/2014/main" id="{96B734D6-06A2-4DEC-AD10-F3A496673616}"/>
                </a:ext>
              </a:extLst>
            </xdr:cNvPr>
            <xdr:cNvSpPr/>
          </xdr:nvSpPr>
          <xdr:spPr>
            <a:xfrm>
              <a:off x="8940800" y="180340"/>
              <a:ext cx="1041400" cy="23622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52CAE6A6-A1BE-40C6-ABF6-CBCB1F3F8204}" type="TxLink">
                <a:rPr lang="en-US" sz="1200" b="0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pPr algn="l"/>
                <a:t>25/02/2026</a:t>
              </a:fld>
              <a:endParaRPr lang="pt-BR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5FC941F-790B-4FBA-917E-6D5F3DB8122A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32A2CC7F-6F29-492D-9C83-76A27B12CDE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3F58472B-24D2-484F-ABF3-03F230BA2D4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5142DA4-F48D-4B9D-ABF9-D5D89533D847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47B94B8B-FC06-43E6-A847-7400FAC81DB7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C4CB5C65-7477-4522-A902-A09099A7008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4D7B7001-BDFE-4536-B1E7-CF8F206B60E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24EF48C2-AF62-41B2-89AA-A8E7681CAD8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38DB9AB4-F8B6-4FF5-9CA7-2001FB1E16F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186BF9AF-54BD-4670-8247-1ABD5DFC127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ABC48836-8C18-4F6E-8BD3-77857E08EF70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D98D0341-6EE1-4894-978A-8F8D2C35F205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51490291-9ECA-4B24-BFBA-D97F5D01514A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DE322898-7949-4B84-B995-7F366DF7595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912ADB4A-CB5D-4E3D-82D7-A9245215F33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41661E04-E912-4328-98D3-4B50E49B2FCE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E0B44E05-C9A5-4E96-ADA0-42567E6E737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A2D93796-7D3B-4731-9B43-FF8A340C8E2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44864449-9C86-40E9-AA8A-24B2ACB12FA9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3DA71BDF-2113-4D53-BC2C-25B38C73790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8BA17F90-89C4-451A-9B8D-3125D86C050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9FD44362-7967-4634-9C0F-1A25CBCF5DC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9DCE4E88-0DEC-483E-83D9-E7FA005B1110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8F03D2DA-773F-46ED-92B2-5E36914E9207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55CB6BB2-CC6A-4971-9DA6-6C6DBF145F6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F1C5A7AC-BB4C-42F8-AD8B-663736A70400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EA3B9EC0-1222-40A6-A33F-4B70A308A83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55A3F644-2F56-4331-B892-0F685CB50BFF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6D7F27D8-F856-4199-84EC-FEDEC0C4F93C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DE7CE70D-6B0E-43B7-9527-C9960D883C9A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50AA4AE-A435-474E-96B1-AA8A4B2C84FE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2E96CA01-A760-4FF4-A830-492EAEDE1C89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21615632-60C6-45C6-8C86-E45306AB2303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DAF1FA03-B83E-4182-9203-96E2BBE85DF6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7BB91D41-7C31-4F22-9945-B2FD1108C260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090242B2-DA56-4DA2-ACC8-550939CEBD6C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16CBA7C0-28CA-4566-A91A-608EBF0DB1F3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12B850F5-4F6E-4A63-9716-DA9E69EC3496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617355C6-299E-4352-9A74-AE8321CB8C64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70D91C29-BA48-44EA-8A40-1B7C7073BACD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7C79E979-D7AD-4A77-AB6A-ED10AADCADD0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7A87381F-46B4-4440-B4A3-1F417D0FB19A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78F19020-B19D-4AB7-A41F-4812162D255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DE5D8569-6D28-419F-8F4A-4AA1E75AFF2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FA1685A0-CAD2-4583-9E06-6990AB9B5C4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4E400B9A-61BA-4346-980A-EA703953031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559D8C55-6A0C-4746-9046-E266447ADAEA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6B155870-1A93-4180-8695-5E93C960E27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54A9D2B3-2159-4464-9003-024B29BF4BC4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26C5B752-8584-4E42-B187-2B947F3C67B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BE6068BA-4F61-430F-B65F-3B34CFE29E88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1B57A898-A8D6-4F50-92D9-C7479B2B885F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99473ADE-283A-401D-B50E-F01F958B231F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84561FC8-46F5-4F2E-B192-0F0CAA0F6389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D089E636-5BAD-42DD-BAF2-73772E1CAB9B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E5B52319-B14E-49FB-8680-766F2F98B1EF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937EC1CF-B2C6-42D0-BCB5-C2D0249187D2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A1880E87-DD50-460E-B7DA-35002D25F826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5906D0CA-9D8D-4124-BE1D-9CB486836ED4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CADA0448-13B3-431C-AFF2-30EBAA3A27F4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370EE0CA-503B-4C36-9F84-69C5125BDEF0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E7335E51-05AE-406F-A431-7FBEA490D838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8BBCBD3E-0EE0-4571-8242-276EA8D6B290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731B5938-7E2E-4A4C-810B-18B2AC51A87B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13B1439B-FCF4-4716-AB0F-5C4D053AA6B9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7DB2F21A-E89E-4B74-9D35-2F803C64E464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2D4C5967-A63A-434A-A353-0DD0766155A4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E2A2FFEE-C720-41E3-8A68-1F7D932A9B96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387F8C25-D6C7-4278-A13D-62C7B8D632FC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A276EF86-66A9-48FD-8C27-3192E730193B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AEDEEFB0-0D0A-4821-8C9A-BFAD4DCC6EBC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F36A0956-6ADD-4F30-806F-F4AFA5F6317A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64C84CA0-F17A-4B6E-97A9-825BF1F39E07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C1486659-C3FD-49EA-BC1C-53F87F99BA69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B2421F05-C0A9-4DCA-8D40-A2BF84F480E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2BA06080-308F-45B8-9320-1AF65E9E0074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68F9BFF8-F4CA-4259-BDEA-6B948BDD0E01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39BE28C9-9233-4759-A737-0ABBCA9616A3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08AA38F1-39FC-498B-B80D-29E56FA0205D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BF94D341-717D-445F-A9AF-F6891C809A8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8D20635C-0FFA-46FA-8CBB-70EAC731B60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757AC833-EF7D-4C8B-869A-7D22F4975191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77A73106-E2DE-48B1-8767-8733AE9CCDB9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73A4A3AA-B2F7-46BE-84B6-A82097EE26AE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1AD428D8-BB66-4DB6-81DC-DDF8C0392B75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EC68CCA8-1446-4126-9989-866FBB17A7EB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4A7DA19-7BB8-403F-848B-7A17D2712264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DE69F156-B13F-4648-BE32-98A175270AF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DE23B461-5CCE-4F2A-A9D6-437750581855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DBAB7E7B-9AAE-490A-805E-2BD3412BB6AE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BECA32AC-DA3B-47CB-9CD5-C83620BCE876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A3B1D133-2873-4C69-BFB3-08C25577D10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481B4887-A758-4750-B622-310E41CEA37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45B6B111-60FB-432A-AEB9-9514692A4D9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370F4B9E-DEE4-4D70-880E-430142B220D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40EF7506-7D8B-40D1-85C0-962F060C2654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D4D59FA2-2C9E-42CF-BC49-1D8D9CCF9FC2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16B5DB86-F320-4C34-AAE8-512223522D73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3A0D613C-07F2-448D-8FEE-1EE2184A4FC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E0BD6F70-A44A-458C-9249-148A163A658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5214085F-53E5-4FCE-B213-CBE9047263C8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7726758A-2232-4506-A854-0359B63CF316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D66616ED-783B-40CF-85C9-E37907C06E0D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32E2E17-5B14-448C-BE50-62090AD4601E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79554546-FA76-4939-96F5-6BB74186D2AB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79221FDE-E127-48C1-AAB0-E3814911ED40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E0189578-9C37-447F-8636-E480A838CB0B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57083657-56AE-45BD-B07F-BC104092CB5E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6F9F75C5-836C-40F3-8961-D49D1C046EDA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7CE10453-28ED-43B8-91FF-27206CB915E3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E3F2E694-CCA1-4EA4-971C-EA95F3297AA5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AA16C909-656C-4DF8-BCA9-D280D1D79DCE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DDD10197-D266-460C-A8C0-32D463FB3A96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87C42BCD-CA1A-4C4B-AE1F-F081FD620D4A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B510915F-E8EF-48D8-BA4D-D2E5AA5B3604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6378CF94-1978-484D-B7AA-336C0EE746F4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2CB36E9A-F51C-44EA-A4E4-A61E139DF9DA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F0E7A5D1-C82E-4124-A49F-376E605D6CAD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C6148343-A1CB-4533-AA94-25D2A7FFCF20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9F53C396-CCD6-4F52-8B37-217C5D73DFFF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CB48A3FE-9AF9-4B7C-AF7D-17226BB5BE2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FA737DB4-25D5-4793-A600-913623A90447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6A3E78FE-8D2E-4D46-B519-F0D0D3D64F64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262A4655-67EF-4AE1-A352-1ECAACBF5D1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EE929CA6-3918-4517-BB36-3D7B31E48E48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52C8694D-A508-4FF7-946F-23622126B965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D72ACA16-B4D8-4057-BD55-2E27E34F1DD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7E889751-735E-49AD-9576-7FB757BB2F9A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43473EF4-9147-4D6E-94BD-0440E0DC6827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2C9F8FC0-4F62-46BA-8FB4-9A2F1166B142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F06ED6A0-CD97-4AD2-A243-B788355E9BF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27B5F12D-F6E8-48AF-A3D8-61916351A99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B285611C-03C5-41CC-8548-D77C0E012E90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1EB5AFF2-7EA5-4404-9475-393E80F93A66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75D0B206-FA91-4C0C-8883-F014F6D69A73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C8533DC2-4472-4168-B441-0C06443A8DFE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6EF23185-CB9F-4F1E-B875-DE5C6282A09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228EF985-AADE-444F-B5CE-5CB6A57242B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E88EB14C-5A9B-4F04-98AD-F9CE77C39856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1301381A-8BFA-4FF1-8024-910F836DF9D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E4F283A7-DD1C-4A8E-9478-B16095CC6C3A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AAD6ED01-0FF3-42D6-866E-1E10EF8EE07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696FC9F1-5F98-434F-BC8A-B4CB03A72506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E473300F-D609-4CB5-B32D-D22E3331B13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3C7EAB2F-FBB8-4784-BF7B-36EC4370BD9D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16A376C1-A035-4373-992D-EF4A00EE8DDE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A0E7D952-C7B7-432F-8055-142CF6503FA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3EB3FEC1-9DDD-4918-9063-7E3BACBC4AE2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1BBBF18A-A57B-4198-9EA9-FBB63BB5F72E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8B3216CA-A323-410C-B8DB-2DF444ADF9C4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07A18B3-50D3-45A2-8E51-80C57F6FDE65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61799578-52A6-4E4B-9188-A5D17C9EA0A5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D9E71E95-6A48-4114-8FAB-9047A7AD411A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3EA5678A-C33B-430C-B094-9679AB26E340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A3B46726-EB98-4686-8B35-8F7F1525B9D9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14D62958-82F9-4860-BA7C-882A9DEBE1C1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53333E0A-A9F2-4499-B004-8FEE1A34FE9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AC66596E-E3B2-4B18-BB40-D7CF101B202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3DD2D8A8-5924-4A20-96B8-4AB8AD7F369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66A93970-5FBF-4FA3-A937-3A2CF7AC1BB1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728070E6-BD41-4C57-A58B-7C25CEAD8C99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8A62640F-9015-4BF8-AF0A-DBD3605A3EE4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D8C09CEF-334C-4FE6-88E4-D211EEB8D235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E09A5153-619A-4258-B4F9-92E64DAB0323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05EB3CA5-4BC7-4633-9175-E93B25FFD692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7FFD704E-D9D5-4224-B3C4-FDBCEEEA16E7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BDEC1EBF-A10A-4E5F-A15F-BCA06CB14D52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5B00F807-BD8F-471F-A9F4-48CF45F70F2E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A4F15AEF-AD8B-4025-A3F2-2F80EE0D9B45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C3659B14-9989-4991-8466-5AF47B85837F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ACC92D2A-AD26-4640-90DE-BFA48E01CD4B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D194CA87-1DEA-4AAF-90A1-FB3D4F2610F4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CF11A2D0-1B8D-4FCB-AC7B-A5ECF5398571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24C04D8F-D952-4E0B-AD4F-9FBC871DDCCD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41D93DEC-FF32-426C-986C-9A242CE9A9C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CA556233-8755-40A5-9B74-FEB2E77ACDEA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46A36867-549A-4499-9429-B5E2858467D1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DD74E78F-ECE6-4809-BE98-D44C5378B7FD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1524CC41-575D-47AC-BE51-A7EF71E2772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74A73181-DD0B-4770-B68D-8AD3E1064C20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B43311E1-851B-4C76-93D9-3B54A89A4428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8AA765CB-7092-4438-808A-FF89321592EC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CCC08A3F-B3EC-49F9-857A-E2E116EC06FF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5DFB5CE4-2D17-4520-90C1-E536D341A47E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CEAF4BFF-8C63-4363-A9A0-5C5952809891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E918EFF3-7FE2-4E96-9B5E-C5718A3FBB5B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44C1F039-71AA-4C2B-BD31-1301F6FABBA5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8DD9F322-FE53-4491-8144-70AAFAFA1B0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BAB525F6-AE36-45CD-A5FC-8A66CBA4542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FC57A864-F316-4F01-B651-5C9E9414A99D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4CD004EA-B795-410A-B078-8C8DB50F2DF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467A61A5-9CBA-4FF4-9F3E-E317D9FB45A0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350445B6-632F-4824-9F2D-DB89330EEC6C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E4E30900-8352-4873-895F-A8A7066457F2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1DBC3603-8C5B-4B7B-9904-191C3E961943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80DB3D5F-F8B6-4642-BCC2-E13207644944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4605FBE4-78ED-4C0C-BEE8-061590404E60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C7F6D4C4-C8BB-4B15-B3DA-8273AB8E3710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73D6BF1F-71C1-4B82-8DBA-AE6B6E90A83C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D51E4E41-1940-41D8-BCAB-3BC30211D7B2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205A7453-4587-4EDA-9CF0-33A18BF7728D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81608371-B9DD-4AA6-910B-AD3F1713CACD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93D5DC62-A1D2-475F-BE8F-50239AAF39B7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753B86B0-F5DB-4A29-8A07-CF0DFA933C82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9B00A3F1-06A3-4E12-8DA8-86844646CBB6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6553BBAF-10BC-4A08-8C14-0F929449F627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E36F4B72-F59B-4804-A943-8D0CE2DA68EF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05CF8EEC-B9EE-4C76-BC9C-56EB36E6057B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E8D37A67-7C8B-448B-8AB8-ED44B9F8DC4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A68667D2-9FAD-48E9-8F03-810BE9F34A38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3E8E13C2-20C1-4AE5-A156-5281D35A763D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B7ED7A9E-C0A5-497D-B2DD-61C016DBF4B3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E5EFD212-DBA6-454C-8B29-AB763EEE957F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AE0EBAF6-3492-4208-9936-BDDBE0453B3D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369F997D-25B1-4489-944C-549785CDFC26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F2E8B6E0-BC53-4DBB-8CDD-E91A6599490A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AD68628C-F0AB-4A49-BFB8-3367AEC033BD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AD03EDC5-4B37-4454-9E07-9C293C927009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6E80B0D4-4E69-40D3-95CC-EB4034E8E118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4BAC447D-78AB-4E81-BBBE-4538432F55CB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C68542DF-DBFC-4F25-9FC4-DE4A525DD673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9F6735AF-B0A8-4FF8-9BB6-5C99F1C999A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E35BC8D1-6442-4195-834F-54D263C054A4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C172FB89-C874-44AB-9886-2E9863E3B67E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42662C0B-0069-4477-B072-F5C5D40980DC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C7862D24-7092-453B-A4C9-AD18E49BA7CD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C2FE301F-5912-4AAC-BADC-6673198AB3F1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D238A27-72CF-46A4-8D02-E631820AAD3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FB7EF650-BBBD-40D7-B3F5-D6F5E10EBB78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41EE0B3F-997A-4C2F-9B73-22BC5858B80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1B8E72F4-3030-4AE2-9ADD-19C84B07EB63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73358D00-5BEE-4262-BBB4-FCA24BEA80E7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FEA7278A-E0ED-4B03-89BF-6F2122994658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8E7341A1-3730-4807-92C0-88401B670984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20</xdr:col>
      <xdr:colOff>183963</xdr:colOff>
      <xdr:row>0</xdr:row>
      <xdr:rowOff>59764</xdr:rowOff>
    </xdr:from>
    <xdr:to>
      <xdr:col>24</xdr:col>
      <xdr:colOff>0</xdr:colOff>
      <xdr:row>27</xdr:row>
      <xdr:rowOff>44823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0" name="LISTA PERTENCENTE 7">
              <a:extLst>
                <a:ext uri="{FF2B5EF4-FFF2-40B4-BE49-F238E27FC236}">
                  <a16:creationId xmlns:a16="http://schemas.microsoft.com/office/drawing/2014/main" id="{1251DC5B-03E3-4012-96F6-F1DE94F3AA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STA PERTENCENT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88523" y="59764"/>
              <a:ext cx="2158066" cy="5509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4022912</xdr:colOff>
      <xdr:row>1</xdr:row>
      <xdr:rowOff>22412</xdr:rowOff>
    </xdr:from>
    <xdr:to>
      <xdr:col>19</xdr:col>
      <xdr:colOff>4613462</xdr:colOff>
      <xdr:row>3</xdr:row>
      <xdr:rowOff>155922</xdr:rowOff>
    </xdr:to>
    <xdr:pic macro="[0]!PaginasEspecificas">
      <xdr:nvPicPr>
        <xdr:cNvPr id="261" name="Imagem 260">
          <a:extLst>
            <a:ext uri="{FF2B5EF4-FFF2-40B4-BE49-F238E27FC236}">
              <a16:creationId xmlns:a16="http://schemas.microsoft.com/office/drawing/2014/main" id="{F701F224-F4B5-460D-AA2D-835863B1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18206" y="257736"/>
          <a:ext cx="590550" cy="604157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rson\Desktop\Area%20de%20Trabalho\Atualiza&#231;&#245;es\03%20-%20Pedido%20de%20suco%20dos%20colaboradores%20-%20FEVEREI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SORBET_LISTA"/>
      <sheetName val="Funcionarios"/>
      <sheetName val="BD"/>
      <sheetName val="TelaInicial"/>
      <sheetName val="Pedido_Geral"/>
      <sheetName val="SORBET"/>
      <sheetName val="MAT_PRO"/>
      <sheetName val="NECTAR"/>
      <sheetName val="PARA FATURAMENTO"/>
      <sheetName val="PARA EXPEDICAO"/>
      <sheetName val="ETIQUETAS_POLPA"/>
      <sheetName val="ETIQUETAS_NECTAR"/>
      <sheetName val="ETIQUETAS_SORBET"/>
      <sheetName val="ETIQUETAS_MP"/>
      <sheetName val="IMPRESSÃO"/>
    </sheetNames>
    <sheetDataSet>
      <sheetData sheetId="0" refreshError="1"/>
      <sheetData sheetId="1" refreshError="1"/>
      <sheetData sheetId="2" refreshError="1">
        <row r="30">
          <cell r="B30" t="str">
            <v>FUNCIONARIO</v>
          </cell>
          <cell r="C30" t="str">
            <v>SETOR</v>
          </cell>
          <cell r="D30" t="str">
            <v>FUNÇÃO</v>
          </cell>
          <cell r="E30" t="str">
            <v>DISTRIBUIÇÃO</v>
          </cell>
        </row>
        <row r="31">
          <cell r="A31">
            <v>986</v>
          </cell>
          <cell r="B31" t="str">
            <v>ADAILTON ALMEIDA AMORIM</v>
          </cell>
          <cell r="C31" t="str">
            <v>XAROPARIA</v>
          </cell>
          <cell r="D31" t="str">
            <v>OP. MAQUINA SENIOR</v>
          </cell>
          <cell r="E31" t="str">
            <v>FABRICA</v>
          </cell>
        </row>
        <row r="32">
          <cell r="A32">
            <v>1190</v>
          </cell>
          <cell r="B32" t="str">
            <v>ADAILTON DA ANUNCIACAO SANTOS CARVALHO</v>
          </cell>
          <cell r="C32" t="str">
            <v>PASTEURIZAÇÃO</v>
          </cell>
          <cell r="D32" t="str">
            <v>OP. MAQUINA SENIOR</v>
          </cell>
          <cell r="E32" t="str">
            <v>FABRICA</v>
          </cell>
        </row>
        <row r="33">
          <cell r="A33">
            <v>4632</v>
          </cell>
          <cell r="B33" t="str">
            <v>ADALBERTO DE JESUS SILVA</v>
          </cell>
          <cell r="C33" t="str">
            <v>FILIAL - TRANSPORTE DE MERCADORIA SSA</v>
          </cell>
          <cell r="D33" t="str">
            <v>MOTORISTA   III-B</v>
          </cell>
          <cell r="E33" t="str">
            <v>EXPEDIÇÃO</v>
          </cell>
        </row>
        <row r="34">
          <cell r="A34">
            <v>4769</v>
          </cell>
          <cell r="B34" t="str">
            <v>ADAUTO EULALIO DA COSTA E SILVA PONTES</v>
          </cell>
          <cell r="C34" t="str">
            <v>ESTOQUE</v>
          </cell>
          <cell r="D34" t="str">
            <v>COMPRADOR DE MATERIA PRIMA</v>
          </cell>
          <cell r="E34" t="str">
            <v>FABRICA</v>
          </cell>
        </row>
        <row r="35">
          <cell r="A35">
            <v>4700</v>
          </cell>
          <cell r="B35" t="str">
            <v>ADIR VASCONCELOS NUNES</v>
          </cell>
          <cell r="C35" t="str">
            <v>EXPEDICAO</v>
          </cell>
          <cell r="D35" t="str">
            <v>EMPILHADOR  III-A</v>
          </cell>
          <cell r="E35" t="str">
            <v>EXPEDIÇÃO</v>
          </cell>
        </row>
        <row r="36">
          <cell r="A36">
            <v>10014</v>
          </cell>
          <cell r="B36" t="str">
            <v>ADISON DOS ANJOS DE JESUS</v>
          </cell>
          <cell r="C36" t="str">
            <v>AUTONOMO</v>
          </cell>
          <cell r="D36" t="str">
            <v>AUTONOMO</v>
          </cell>
          <cell r="E36" t="str">
            <v>EXPEDIÇÃO</v>
          </cell>
        </row>
        <row r="37">
          <cell r="A37">
            <v>1743</v>
          </cell>
          <cell r="B37" t="str">
            <v>ADRIANA DE JESUS LACERDA COSTA</v>
          </cell>
          <cell r="C37" t="str">
            <v>PRODUCAO DE POLPA</v>
          </cell>
          <cell r="D37" t="str">
            <v>OP. MAQUINA JR</v>
          </cell>
          <cell r="E37" t="str">
            <v>FABRICA</v>
          </cell>
        </row>
        <row r="38">
          <cell r="A38">
            <v>4189</v>
          </cell>
          <cell r="B38" t="str">
            <v>ADRIANA DE LIMA SOUSA</v>
          </cell>
          <cell r="C38" t="str">
            <v>ESCRITORIO</v>
          </cell>
          <cell r="D38" t="str">
            <v>ASSISTENTE DE PESSOAL</v>
          </cell>
          <cell r="E38" t="str">
            <v>EXPEDIÇÃO</v>
          </cell>
        </row>
        <row r="39">
          <cell r="A39">
            <v>4727</v>
          </cell>
          <cell r="B39" t="str">
            <v>ADRIANE SILVA DOS SANTOS</v>
          </cell>
          <cell r="C39" t="str">
            <v>LABORATORIO</v>
          </cell>
          <cell r="D39" t="str">
            <v>ASSISTENTE DE CONTROLE DE QUALIDADE</v>
          </cell>
          <cell r="E39" t="str">
            <v>FABRICA</v>
          </cell>
        </row>
        <row r="40">
          <cell r="A40">
            <v>4195</v>
          </cell>
          <cell r="B40" t="str">
            <v>AILTON DA CRUZ FREITAS</v>
          </cell>
          <cell r="C40" t="str">
            <v>LIMPEZA</v>
          </cell>
          <cell r="D40" t="str">
            <v>AUX.  LIMPEZA</v>
          </cell>
          <cell r="E40" t="str">
            <v>FABRICA</v>
          </cell>
        </row>
        <row r="41">
          <cell r="A41">
            <v>4531</v>
          </cell>
          <cell r="B41" t="str">
            <v>ALAN DIAS FRANCA</v>
          </cell>
          <cell r="C41" t="str">
            <v>VENDAS SSA</v>
          </cell>
          <cell r="D41" t="str">
            <v>PROM. VENDAS II-C</v>
          </cell>
          <cell r="E41" t="str">
            <v>EXPEDIÇÃO</v>
          </cell>
        </row>
        <row r="42">
          <cell r="A42">
            <v>4926</v>
          </cell>
          <cell r="B42" t="str">
            <v>ALAN JUNIO DA SILVA</v>
          </cell>
          <cell r="C42" t="str">
            <v>VENDAS</v>
          </cell>
          <cell r="D42" t="str">
            <v>PROM. VENDAS I-B</v>
          </cell>
          <cell r="E42" t="str">
            <v>EXPEDIÇÃO</v>
          </cell>
        </row>
        <row r="43">
          <cell r="A43">
            <v>4194</v>
          </cell>
          <cell r="B43" t="str">
            <v>ALANA SILVA BORGES</v>
          </cell>
          <cell r="C43" t="str">
            <v>ESCRITORIO</v>
          </cell>
          <cell r="D43" t="str">
            <v>FATURISTA</v>
          </cell>
          <cell r="E43" t="str">
            <v>EXPEDIÇÃO</v>
          </cell>
        </row>
        <row r="44">
          <cell r="A44">
            <v>1348</v>
          </cell>
          <cell r="B44" t="str">
            <v>ALBINO LACERDA DA SILVA</v>
          </cell>
          <cell r="C44" t="str">
            <v>TRANSPORTE DE MERCADORIA</v>
          </cell>
          <cell r="D44" t="str">
            <v>MOTORISTA   III-B</v>
          </cell>
          <cell r="E44" t="str">
            <v>EXPEDIÇÃO</v>
          </cell>
        </row>
        <row r="45">
          <cell r="A45">
            <v>4969</v>
          </cell>
          <cell r="B45" t="str">
            <v>ALEX JESUS SANTOS</v>
          </cell>
          <cell r="C45" t="str">
            <v>VENDAS</v>
          </cell>
          <cell r="D45" t="str">
            <v>PROM. VENDAS I-B</v>
          </cell>
          <cell r="E45" t="str">
            <v>EXPEDIÇÃO</v>
          </cell>
        </row>
        <row r="46">
          <cell r="A46">
            <v>4551</v>
          </cell>
          <cell r="B46" t="str">
            <v>ALEXANDRE SANTOS DA SILVA</v>
          </cell>
          <cell r="C46" t="str">
            <v>PRODUCAO DE POLPA</v>
          </cell>
          <cell r="D46" t="str">
            <v>OP. MAQUINA JR</v>
          </cell>
          <cell r="E46" t="str">
            <v>FABRICA</v>
          </cell>
        </row>
        <row r="47">
          <cell r="A47">
            <v>4737</v>
          </cell>
          <cell r="B47" t="str">
            <v>ALEXANDRO SOUZA GOMES</v>
          </cell>
          <cell r="C47" t="str">
            <v>EXTRAÇÃO</v>
          </cell>
          <cell r="D47" t="str">
            <v>AJ DE CARGA E DESCARGA DE MERCADORIA - EX</v>
          </cell>
          <cell r="E47" t="str">
            <v>FABRICA</v>
          </cell>
        </row>
        <row r="48">
          <cell r="A48">
            <v>3740</v>
          </cell>
          <cell r="B48" t="str">
            <v>ALEXANDRO TRAJANO DA SILVA</v>
          </cell>
          <cell r="C48" t="str">
            <v>TRANSPORTE DE MERCADORIA</v>
          </cell>
          <cell r="D48" t="str">
            <v>MOTORISTA   III-B</v>
          </cell>
          <cell r="E48" t="str">
            <v>EXPEDIÇÃO</v>
          </cell>
        </row>
        <row r="49">
          <cell r="A49">
            <v>4934</v>
          </cell>
          <cell r="B49" t="str">
            <v>ALEXSSANDRO FERREIRA SANTANA</v>
          </cell>
          <cell r="C49" t="str">
            <v>PRODUCAO DE POLPA</v>
          </cell>
          <cell r="D49" t="str">
            <v>AUX. PROD. PP</v>
          </cell>
          <cell r="E49" t="str">
            <v>FABRICA</v>
          </cell>
        </row>
        <row r="50">
          <cell r="A50">
            <v>3455</v>
          </cell>
          <cell r="B50" t="str">
            <v>ALFREDO MARQUES CERQUEIRA SANTANA</v>
          </cell>
          <cell r="C50" t="str">
            <v>UTILIDADES</v>
          </cell>
          <cell r="D50" t="str">
            <v>OP. UTILIDADES</v>
          </cell>
          <cell r="E50" t="str">
            <v>FABRICA</v>
          </cell>
        </row>
        <row r="51">
          <cell r="A51">
            <v>4960</v>
          </cell>
          <cell r="B51" t="str">
            <v>ALINNE MOREIRA SANTOS</v>
          </cell>
          <cell r="C51" t="str">
            <v>ESCRITORIO</v>
          </cell>
          <cell r="D51" t="str">
            <v>APRENDIZ AUX. DE ESCRITORIO</v>
          </cell>
          <cell r="E51" t="str">
            <v>EXPEDIÇÃO</v>
          </cell>
        </row>
        <row r="52">
          <cell r="A52">
            <v>4063</v>
          </cell>
          <cell r="B52" t="str">
            <v>ALISON SILVA DE OLIVEIRA</v>
          </cell>
          <cell r="C52" t="str">
            <v>EXPEDICAO</v>
          </cell>
          <cell r="D52" t="str">
            <v>EMPILHADOR  III-A</v>
          </cell>
          <cell r="E52" t="str">
            <v>EXPEDIÇÃO</v>
          </cell>
        </row>
        <row r="53">
          <cell r="A53">
            <v>1349</v>
          </cell>
          <cell r="B53" t="str">
            <v>ALOIZIO DOS SANTOS RAMOS</v>
          </cell>
          <cell r="C53" t="str">
            <v>TRANSPORTE DE MERCADORIA</v>
          </cell>
          <cell r="D53" t="str">
            <v>MOTORISTA   III-B</v>
          </cell>
          <cell r="E53" t="str">
            <v>EXPEDIÇÃO</v>
          </cell>
        </row>
        <row r="54">
          <cell r="A54">
            <v>4416</v>
          </cell>
          <cell r="B54" t="str">
            <v>ALTAIR JOSE SANTOS BATISTA</v>
          </cell>
          <cell r="C54" t="str">
            <v>FILIAL - TRANSPORTE DE MERCADORIA SSA</v>
          </cell>
          <cell r="D54" t="str">
            <v>MOTORISTA   III-B</v>
          </cell>
          <cell r="E54" t="str">
            <v>EXPEDIÇÃO</v>
          </cell>
        </row>
        <row r="55">
          <cell r="A55">
            <v>3450</v>
          </cell>
          <cell r="B55" t="str">
            <v>AMILTON BASTOS FERREIRA</v>
          </cell>
          <cell r="C55" t="str">
            <v>EXPEDICAO</v>
          </cell>
          <cell r="D55" t="str">
            <v>EMPILHADOR  III-A</v>
          </cell>
          <cell r="E55" t="str">
            <v>EXPEDIÇÃO</v>
          </cell>
        </row>
        <row r="56">
          <cell r="A56">
            <v>4645</v>
          </cell>
          <cell r="B56" t="str">
            <v>AMILTON OLIVEIRA BOAVENTURA</v>
          </cell>
          <cell r="C56" t="str">
            <v>MANUTENÇÃO</v>
          </cell>
          <cell r="D56" t="str">
            <v>AUXILIAR DE ELETRICISTA</v>
          </cell>
          <cell r="E56" t="str">
            <v>FABRICA</v>
          </cell>
        </row>
        <row r="57">
          <cell r="A57">
            <v>4431</v>
          </cell>
          <cell r="B57" t="str">
            <v>ANA CARLA DE ASSIS SOUZA</v>
          </cell>
          <cell r="C57" t="str">
            <v>PRODUCAO DE POLPA</v>
          </cell>
          <cell r="D57" t="str">
            <v>AUX. PROD. PP</v>
          </cell>
          <cell r="E57" t="str">
            <v>FABRICA</v>
          </cell>
        </row>
        <row r="58">
          <cell r="A58">
            <v>99014</v>
          </cell>
          <cell r="B58" t="str">
            <v>ANA CAROLINA DIAS DA SILVA</v>
          </cell>
          <cell r="C58" t="str">
            <v>FILIAL - ESCRITORIO SSA</v>
          </cell>
          <cell r="D58" t="str">
            <v>ASSISTENTE DE FATURAMENTO</v>
          </cell>
          <cell r="E58" t="str">
            <v>EXPEDIÇÃO</v>
          </cell>
        </row>
        <row r="59">
          <cell r="A59">
            <v>4949</v>
          </cell>
          <cell r="B59" t="str">
            <v>ANA CAROLINA SOUZA DA HORA</v>
          </cell>
          <cell r="C59" t="str">
            <v>ESCRITORIO</v>
          </cell>
          <cell r="D59" t="str">
            <v>APRENDIZ AUX. DE ESCRITORIO</v>
          </cell>
          <cell r="E59" t="str">
            <v>EXPEDIÇÃO</v>
          </cell>
        </row>
        <row r="60">
          <cell r="A60">
            <v>2857</v>
          </cell>
          <cell r="B60" t="str">
            <v>ANA FLAVIA OLIVEIRA PEREIRA</v>
          </cell>
          <cell r="C60" t="str">
            <v>LABORATORIO</v>
          </cell>
          <cell r="D60" t="str">
            <v>AUXILIAR DE LABORATORIO</v>
          </cell>
          <cell r="E60" t="str">
            <v>FABRICA</v>
          </cell>
        </row>
        <row r="61">
          <cell r="A61">
            <v>3931</v>
          </cell>
          <cell r="B61" t="str">
            <v>ANA KATIA DOS SANTOS</v>
          </cell>
          <cell r="C61" t="str">
            <v>VENDAS</v>
          </cell>
          <cell r="D61" t="str">
            <v>PROM. VENDAS I-B</v>
          </cell>
          <cell r="E61" t="str">
            <v>EXPEDIÇÃO</v>
          </cell>
        </row>
        <row r="62">
          <cell r="A62">
            <v>2797</v>
          </cell>
          <cell r="B62" t="str">
            <v>ANA LEIDE VIEIRA DOS SANTOS</v>
          </cell>
          <cell r="C62" t="str">
            <v>PRODUCAO DE POLPA</v>
          </cell>
          <cell r="D62" t="str">
            <v>AUX. PROD. PP</v>
          </cell>
          <cell r="E62" t="str">
            <v>FABRICA</v>
          </cell>
        </row>
        <row r="63">
          <cell r="A63">
            <v>1744</v>
          </cell>
          <cell r="B63" t="str">
            <v>ANA LUCIA LIMA DOS SANTOS SANTANA</v>
          </cell>
          <cell r="C63" t="str">
            <v>LABORATORIO</v>
          </cell>
          <cell r="D63" t="str">
            <v>LABORATORISTA</v>
          </cell>
          <cell r="E63" t="str">
            <v>FABRICA</v>
          </cell>
        </row>
        <row r="64">
          <cell r="A64">
            <v>697</v>
          </cell>
          <cell r="B64" t="str">
            <v>ANA MARIA DE JESUS SANTOS</v>
          </cell>
          <cell r="C64" t="str">
            <v>CORTE DE FRUTAS</v>
          </cell>
          <cell r="D64" t="str">
            <v>AUX. PROD. CF</v>
          </cell>
          <cell r="E64" t="str">
            <v>FABRICA</v>
          </cell>
        </row>
        <row r="65">
          <cell r="A65">
            <v>4310</v>
          </cell>
          <cell r="B65" t="str">
            <v>ANA PAULA SANTOS DA PAIXAO</v>
          </cell>
          <cell r="C65" t="str">
            <v>LAVAGEM E SELEÇÃO</v>
          </cell>
          <cell r="D65" t="str">
            <v>AUX. PROD. LS</v>
          </cell>
          <cell r="E65" t="str">
            <v>FABRICA</v>
          </cell>
        </row>
        <row r="66">
          <cell r="A66">
            <v>50000</v>
          </cell>
          <cell r="B66" t="str">
            <v>ANAILSON DE CARVALHO FALEIRO</v>
          </cell>
          <cell r="C66" t="str">
            <v>AUTONOMO</v>
          </cell>
          <cell r="D66" t="str">
            <v>AUTONOMO</v>
          </cell>
          <cell r="E66" t="str">
            <v>N/D</v>
          </cell>
        </row>
        <row r="67">
          <cell r="A67">
            <v>4626</v>
          </cell>
          <cell r="B67" t="str">
            <v>ANDRE LUIS DOS SANTOS ROSA</v>
          </cell>
          <cell r="C67" t="str">
            <v>VENDAS SSA</v>
          </cell>
          <cell r="D67" t="str">
            <v>PROM. VENDAS II-C</v>
          </cell>
          <cell r="E67" t="str">
            <v>EXPEDIÇÃO</v>
          </cell>
        </row>
        <row r="68">
          <cell r="A68">
            <v>4925</v>
          </cell>
          <cell r="B68" t="str">
            <v>ANDREY GOMES ARAGAO SILVA</v>
          </cell>
          <cell r="C68" t="str">
            <v>VENDAS</v>
          </cell>
          <cell r="D68" t="str">
            <v>VENDEDOR</v>
          </cell>
          <cell r="E68" t="str">
            <v>EXPEDIÇÃO</v>
          </cell>
        </row>
        <row r="69">
          <cell r="A69">
            <v>1555</v>
          </cell>
          <cell r="B69" t="str">
            <v>ANSELMO ARAUJO DOS SANTOS</v>
          </cell>
          <cell r="C69" t="str">
            <v>UTILIDADES</v>
          </cell>
          <cell r="D69" t="str">
            <v>OP. UTILIDADES</v>
          </cell>
          <cell r="E69" t="str">
            <v>FABRICA</v>
          </cell>
        </row>
        <row r="70">
          <cell r="A70">
            <v>3879</v>
          </cell>
          <cell r="B70" t="str">
            <v>ANTONIEL DE JESUS SANTOS</v>
          </cell>
          <cell r="C70" t="str">
            <v>PRODUCAO DE POLPA</v>
          </cell>
          <cell r="D70" t="str">
            <v>OP. MAQUINA SENIOR</v>
          </cell>
          <cell r="E70" t="str">
            <v>FABRICA</v>
          </cell>
        </row>
        <row r="71">
          <cell r="A71">
            <v>4295</v>
          </cell>
          <cell r="B71" t="str">
            <v>ANTONIEL SANTOS DE JESUS</v>
          </cell>
          <cell r="C71" t="str">
            <v>ENTAMBORAMENTO</v>
          </cell>
          <cell r="D71" t="str">
            <v>AUX. PROD. EN</v>
          </cell>
          <cell r="E71" t="str">
            <v>FABRICA</v>
          </cell>
        </row>
        <row r="72">
          <cell r="A72">
            <v>10005</v>
          </cell>
          <cell r="B72" t="str">
            <v>ANTONIO CARLOS DA SILVA SAMPAIO</v>
          </cell>
          <cell r="C72" t="str">
            <v>AUTONOMO</v>
          </cell>
          <cell r="D72" t="str">
            <v>AUTONOMO</v>
          </cell>
          <cell r="E72" t="str">
            <v>N/D</v>
          </cell>
        </row>
        <row r="73">
          <cell r="A73">
            <v>276</v>
          </cell>
          <cell r="B73" t="str">
            <v>ANTONIO CARLOS DE OLIVEIRA</v>
          </cell>
          <cell r="C73" t="str">
            <v>LIMPEZA</v>
          </cell>
          <cell r="D73" t="str">
            <v>AGENTE DE SERVICO INTERNO</v>
          </cell>
          <cell r="E73" t="str">
            <v>FABRICA</v>
          </cell>
        </row>
        <row r="74">
          <cell r="A74">
            <v>4065</v>
          </cell>
          <cell r="B74" t="str">
            <v>ANTONIO CARLOS FERREIRA LEITE</v>
          </cell>
          <cell r="C74" t="str">
            <v>EXPEDICAO</v>
          </cell>
          <cell r="D74" t="str">
            <v>CONFERENTE</v>
          </cell>
          <cell r="E74" t="str">
            <v>EXPEDIÇÃO</v>
          </cell>
        </row>
        <row r="75">
          <cell r="A75">
            <v>4536</v>
          </cell>
          <cell r="B75" t="str">
            <v>ANTONIO CARLOS MOTA</v>
          </cell>
          <cell r="C75" t="str">
            <v>EXPEDICAO</v>
          </cell>
          <cell r="D75" t="str">
            <v>AJ DE CARGA E DESCARGA DE MERCADORIA</v>
          </cell>
          <cell r="E75" t="str">
            <v>EXPEDIÇÃO</v>
          </cell>
        </row>
        <row r="76">
          <cell r="A76">
            <v>3422</v>
          </cell>
          <cell r="B76" t="str">
            <v>ANTONIO CERQUEIRA SANTOS</v>
          </cell>
          <cell r="C76" t="str">
            <v>EXTRAÇÃO</v>
          </cell>
          <cell r="D76" t="str">
            <v>OP. MAQUINA SENIOR</v>
          </cell>
          <cell r="E76" t="str">
            <v>FABRICA</v>
          </cell>
        </row>
        <row r="77">
          <cell r="A77">
            <v>3442</v>
          </cell>
          <cell r="B77" t="str">
            <v>ANTONIO CICERO MENDES DE JESUS</v>
          </cell>
          <cell r="C77" t="str">
            <v>ALMOXARIFADO</v>
          </cell>
          <cell r="D77" t="str">
            <v>ALMOXARIFE</v>
          </cell>
          <cell r="E77" t="str">
            <v>FABRICA</v>
          </cell>
        </row>
        <row r="78">
          <cell r="A78">
            <v>4710</v>
          </cell>
          <cell r="B78" t="str">
            <v>ANTONIO DE CASTRO SANTOS SOUZA</v>
          </cell>
          <cell r="C78" t="str">
            <v>PRODUCAO POLPA QUILO ASSISTENCIA</v>
          </cell>
          <cell r="D78" t="str">
            <v>AUX. PROD. QA</v>
          </cell>
          <cell r="E78" t="str">
            <v>FABRICA</v>
          </cell>
        </row>
        <row r="79">
          <cell r="A79">
            <v>4759</v>
          </cell>
          <cell r="B79" t="str">
            <v>ANTONIO DE JESUS VITORIA</v>
          </cell>
          <cell r="C79" t="str">
            <v>EXTRAÇÃO</v>
          </cell>
          <cell r="D79" t="str">
            <v>AJ DE CARGA E DESCARGA DE MERCADORIA - EX</v>
          </cell>
          <cell r="E79" t="str">
            <v>FABRICA</v>
          </cell>
        </row>
        <row r="80">
          <cell r="A80">
            <v>4729</v>
          </cell>
          <cell r="B80" t="str">
            <v>ANTONIO JOSE SANTOS SILVA</v>
          </cell>
          <cell r="C80" t="str">
            <v>LIMPEZA</v>
          </cell>
          <cell r="D80" t="str">
            <v>AGENTE DE SERVICO INTERNO</v>
          </cell>
          <cell r="E80" t="str">
            <v>FABRICA</v>
          </cell>
        </row>
        <row r="81">
          <cell r="A81">
            <v>10027</v>
          </cell>
          <cell r="B81" t="str">
            <v>ANTONIO MARCOS OLIVEIRA SILVA</v>
          </cell>
          <cell r="C81" t="str">
            <v>AUTONOMO</v>
          </cell>
          <cell r="D81" t="str">
            <v>AUTONOMO</v>
          </cell>
          <cell r="E81" t="str">
            <v>N/D</v>
          </cell>
        </row>
        <row r="82">
          <cell r="A82">
            <v>4180</v>
          </cell>
          <cell r="B82" t="str">
            <v>ARILANE MARQUES DOS SANTOS</v>
          </cell>
          <cell r="C82" t="str">
            <v>MANUTENÇÃO</v>
          </cell>
          <cell r="D82" t="str">
            <v>ASSISTENTE DE PCM</v>
          </cell>
          <cell r="E82" t="str">
            <v>FABRICA</v>
          </cell>
        </row>
        <row r="83">
          <cell r="A83">
            <v>4965</v>
          </cell>
          <cell r="B83" t="str">
            <v>ARLISON DOS SANTOS ANDRADE</v>
          </cell>
          <cell r="C83" t="str">
            <v>ALMOXARIFADO</v>
          </cell>
          <cell r="D83" t="str">
            <v>TEC. SEG. TRAB. III-A</v>
          </cell>
          <cell r="E83" t="str">
            <v>FABRICA</v>
          </cell>
        </row>
        <row r="84">
          <cell r="A84">
            <v>123</v>
          </cell>
          <cell r="B84" t="str">
            <v>ASSIS DOS SANTOS OLIVEIRA</v>
          </cell>
          <cell r="C84" t="str">
            <v>EXTRAÇÃO</v>
          </cell>
          <cell r="D84" t="str">
            <v>LIDER DE PRODUCAO</v>
          </cell>
          <cell r="E84" t="str">
            <v>FABRICA</v>
          </cell>
        </row>
        <row r="85">
          <cell r="A85">
            <v>1740</v>
          </cell>
          <cell r="B85" t="str">
            <v>AUREA DE OLIVEIRA DIAS</v>
          </cell>
          <cell r="C85" t="str">
            <v>REFEITORIO</v>
          </cell>
          <cell r="D85" t="str">
            <v>NUTRICIONISTA</v>
          </cell>
          <cell r="E85" t="str">
            <v>EXPEDIÇÃO</v>
          </cell>
        </row>
        <row r="86">
          <cell r="A86">
            <v>2798</v>
          </cell>
          <cell r="B86" t="str">
            <v>BERNARDINO DE JESUS MIRANDA</v>
          </cell>
          <cell r="C86" t="str">
            <v>PRODUCAO POLPA ASSISTENCIA</v>
          </cell>
          <cell r="D86" t="str">
            <v>AUX. PROD. PA</v>
          </cell>
          <cell r="E86" t="str">
            <v>FABRICA</v>
          </cell>
        </row>
        <row r="87">
          <cell r="A87">
            <v>4964</v>
          </cell>
          <cell r="B87" t="str">
            <v>BLYASKKA MARLA PASSOS GONCALVES DE</v>
          </cell>
          <cell r="C87" t="str">
            <v>ESCRITORIO</v>
          </cell>
          <cell r="D87" t="str">
            <v>AUXILIAR DE CONTAS A PAGAR</v>
          </cell>
          <cell r="E87" t="str">
            <v>EXPEDIÇÃO</v>
          </cell>
        </row>
        <row r="88">
          <cell r="A88">
            <v>4652</v>
          </cell>
          <cell r="B88" t="str">
            <v>BRAULIO JOSE VARJAO</v>
          </cell>
          <cell r="C88" t="str">
            <v>TRANSPORTE DE MERCADORIA</v>
          </cell>
          <cell r="D88" t="str">
            <v>MOTORISTA   III-B</v>
          </cell>
          <cell r="E88" t="str">
            <v>EXPEDIÇÃO</v>
          </cell>
        </row>
        <row r="89">
          <cell r="A89">
            <v>4666</v>
          </cell>
          <cell r="B89" t="str">
            <v>BRENO DE OLIVEIRA GOMES</v>
          </cell>
          <cell r="C89" t="str">
            <v>EXPEDICAO</v>
          </cell>
          <cell r="D89" t="str">
            <v>EMPILHADOR  III-A</v>
          </cell>
          <cell r="E89" t="str">
            <v>EXPEDIÇÃO</v>
          </cell>
        </row>
        <row r="90">
          <cell r="A90">
            <v>4540</v>
          </cell>
          <cell r="B90" t="str">
            <v>BRUNO ALVES SILVA GUSMAO</v>
          </cell>
          <cell r="C90" t="str">
            <v>MANUTENÇÃO</v>
          </cell>
          <cell r="D90" t="str">
            <v>SUP. DE MANUTENCAO</v>
          </cell>
          <cell r="E90" t="str">
            <v>FABRICA</v>
          </cell>
        </row>
        <row r="91">
          <cell r="A91">
            <v>4556</v>
          </cell>
          <cell r="B91" t="str">
            <v>BRUNO DA SILVA SANTOS</v>
          </cell>
          <cell r="C91" t="str">
            <v>VENDAS SSA</v>
          </cell>
          <cell r="D91" t="str">
            <v>VENDEDOR</v>
          </cell>
          <cell r="E91" t="str">
            <v>EXPEDIÇÃO</v>
          </cell>
        </row>
        <row r="92">
          <cell r="A92">
            <v>4752</v>
          </cell>
          <cell r="B92" t="str">
            <v>BRUNO RODRIGUES PORTO</v>
          </cell>
          <cell r="C92" t="str">
            <v>MANUTENÇÃO</v>
          </cell>
          <cell r="D92" t="str">
            <v>AUX.DE MECANICO I-B</v>
          </cell>
          <cell r="E92" t="str">
            <v>FABRICA</v>
          </cell>
        </row>
        <row r="93">
          <cell r="A93">
            <v>10028</v>
          </cell>
          <cell r="B93" t="str">
            <v>CAIQUE OLIVEIRA DA SILVA FREITAS</v>
          </cell>
          <cell r="C93" t="str">
            <v>AUTONOMO</v>
          </cell>
          <cell r="D93" t="str">
            <v>AUTONOMO</v>
          </cell>
          <cell r="E93" t="str">
            <v>N/D</v>
          </cell>
        </row>
        <row r="94">
          <cell r="A94">
            <v>4959</v>
          </cell>
          <cell r="B94" t="str">
            <v>CARLIANE DAS VIRGENS ALBERTO</v>
          </cell>
          <cell r="C94" t="str">
            <v>MANUTENÇÃO</v>
          </cell>
          <cell r="D94" t="str">
            <v>ASSISTENTE DE PCM</v>
          </cell>
          <cell r="E94" t="str">
            <v>FABRICA</v>
          </cell>
        </row>
        <row r="95">
          <cell r="A95">
            <v>4930</v>
          </cell>
          <cell r="B95" t="str">
            <v>CARLOS DA CRUZ SANTANA</v>
          </cell>
          <cell r="C95" t="str">
            <v>XAROPARIA</v>
          </cell>
          <cell r="D95" t="str">
            <v>AUX. PROD. XA</v>
          </cell>
          <cell r="E95" t="str">
            <v>FABRICA</v>
          </cell>
        </row>
        <row r="96">
          <cell r="A96">
            <v>4519</v>
          </cell>
          <cell r="B96" t="str">
            <v>CARLOS DE JESUS DOS SANTOS</v>
          </cell>
          <cell r="C96" t="str">
            <v>PRODUCAO DE POLPA</v>
          </cell>
          <cell r="D96" t="str">
            <v>OP. MAQUINA JR</v>
          </cell>
          <cell r="E96" t="str">
            <v>FABRICA</v>
          </cell>
        </row>
        <row r="97">
          <cell r="A97">
            <v>4721</v>
          </cell>
          <cell r="B97" t="str">
            <v>CARLOS EDUARDO SILVA DE OLIVEIRA</v>
          </cell>
          <cell r="C97" t="str">
            <v>PORTARIA</v>
          </cell>
          <cell r="D97" t="str">
            <v>OP. DE BALANCA JR</v>
          </cell>
          <cell r="E97" t="str">
            <v>EXPEDIÇÃO</v>
          </cell>
        </row>
        <row r="98">
          <cell r="A98">
            <v>3743</v>
          </cell>
          <cell r="B98" t="str">
            <v>CECILIO SANTA BARBARA</v>
          </cell>
          <cell r="C98" t="str">
            <v>MANUTENÇÃO</v>
          </cell>
          <cell r="D98" t="str">
            <v>SERRALHEIRO</v>
          </cell>
          <cell r="E98" t="str">
            <v>FABRICA</v>
          </cell>
        </row>
        <row r="99">
          <cell r="A99">
            <v>1908</v>
          </cell>
          <cell r="B99" t="str">
            <v>CELESTE BORGES ARAUJO DOS SANTOS</v>
          </cell>
          <cell r="C99" t="str">
            <v>PRODUCAO DE POLPA</v>
          </cell>
          <cell r="D99" t="str">
            <v>OP. MAQUINA PLENO</v>
          </cell>
          <cell r="E99" t="str">
            <v>FABRICA</v>
          </cell>
        </row>
        <row r="100">
          <cell r="A100">
            <v>3396</v>
          </cell>
          <cell r="B100" t="str">
            <v>CESAR AUGUSTO LOPES DOS SANTOS</v>
          </cell>
          <cell r="C100" t="str">
            <v>PORTARIA</v>
          </cell>
          <cell r="D100" t="str">
            <v>OP. DE BALANCA</v>
          </cell>
          <cell r="E100" t="str">
            <v>EXPEDIÇÃO</v>
          </cell>
        </row>
        <row r="101">
          <cell r="A101">
            <v>10031</v>
          </cell>
          <cell r="B101" t="str">
            <v>CHEILA MENDES DA SILVA</v>
          </cell>
          <cell r="C101" t="str">
            <v>AUTONOMO</v>
          </cell>
          <cell r="D101" t="str">
            <v>AUTONOMO</v>
          </cell>
          <cell r="E101" t="str">
            <v>N/D</v>
          </cell>
        </row>
        <row r="102">
          <cell r="A102">
            <v>4786</v>
          </cell>
          <cell r="B102" t="str">
            <v>CINTIA OLIVEIRA DA SILVA</v>
          </cell>
          <cell r="C102" t="str">
            <v>ESCRITORIO</v>
          </cell>
          <cell r="D102" t="str">
            <v>APRENDIZ AUX. DE ESCRITORIO</v>
          </cell>
          <cell r="E102" t="str">
            <v>EXPEDIÇÃO</v>
          </cell>
        </row>
        <row r="103">
          <cell r="A103">
            <v>4773</v>
          </cell>
          <cell r="B103" t="str">
            <v>CLAUDEMIRO CRUZ SOUZA</v>
          </cell>
          <cell r="C103" t="str">
            <v>EXPEDICAO</v>
          </cell>
          <cell r="D103" t="str">
            <v>AJ DE CARGA E DESCARGA DE MERCADORIA</v>
          </cell>
          <cell r="E103" t="str">
            <v>EXPEDIÇÃO</v>
          </cell>
        </row>
        <row r="104">
          <cell r="A104">
            <v>10018</v>
          </cell>
          <cell r="B104" t="str">
            <v>CLAUDINEI MASCARENHAS DOS SANTOS</v>
          </cell>
          <cell r="C104" t="str">
            <v>AUTONOMO</v>
          </cell>
          <cell r="D104" t="str">
            <v>AUTONOMO</v>
          </cell>
          <cell r="E104" t="str">
            <v>N/D</v>
          </cell>
        </row>
        <row r="105">
          <cell r="A105">
            <v>4778</v>
          </cell>
          <cell r="B105" t="str">
            <v>CLAUDIO MARCIO DE ALCANTARA</v>
          </cell>
          <cell r="C105" t="str">
            <v>TRANSPORTE DE MERCADORIA SSA</v>
          </cell>
          <cell r="D105" t="str">
            <v>AJ. DE TRANSPORTE I-C</v>
          </cell>
          <cell r="E105" t="str">
            <v>EXPEDIÇÃO</v>
          </cell>
        </row>
        <row r="106">
          <cell r="A106">
            <v>4699</v>
          </cell>
          <cell r="B106" t="str">
            <v>CLAUDIONOR ALVES NOVAIS</v>
          </cell>
          <cell r="C106" t="str">
            <v>PRODUCAO POLPA ASSISTENCIA</v>
          </cell>
          <cell r="D106" t="str">
            <v>AUX. PROD. PA</v>
          </cell>
          <cell r="E106" t="str">
            <v>FABRICA</v>
          </cell>
        </row>
        <row r="107">
          <cell r="A107">
            <v>3509</v>
          </cell>
          <cell r="B107" t="str">
            <v>CLEBSON CARLOS SANTOS COSTA</v>
          </cell>
          <cell r="C107" t="str">
            <v>PRODUCAO DE POLPA</v>
          </cell>
          <cell r="D107" t="str">
            <v>OP. MAQUINA SENIOR</v>
          </cell>
          <cell r="E107" t="str">
            <v>FABRICA</v>
          </cell>
        </row>
        <row r="108">
          <cell r="A108">
            <v>4942</v>
          </cell>
          <cell r="B108" t="str">
            <v>CLEDSON DE OLIVEIRA FERREIRA</v>
          </cell>
          <cell r="C108" t="str">
            <v>EXTRAÇÃO</v>
          </cell>
          <cell r="D108" t="str">
            <v>AJ DE CARGA E DESCARGA DE MERCADORIA - EX</v>
          </cell>
          <cell r="E108" t="str">
            <v>FABRICA</v>
          </cell>
        </row>
        <row r="109">
          <cell r="A109">
            <v>4782</v>
          </cell>
          <cell r="B109" t="str">
            <v>COSME MAIA DOS SANTOS</v>
          </cell>
          <cell r="C109" t="str">
            <v>VENDAS SSA</v>
          </cell>
          <cell r="D109" t="str">
            <v>PROM. VENDAS II-C</v>
          </cell>
          <cell r="E109" t="str">
            <v>EXPEDIÇÃO</v>
          </cell>
        </row>
        <row r="110">
          <cell r="A110">
            <v>1553</v>
          </cell>
          <cell r="B110" t="str">
            <v>CRISPINIANA DE JESUS SANTOS</v>
          </cell>
          <cell r="C110" t="str">
            <v>PRODUCAO DE POLPA</v>
          </cell>
          <cell r="D110" t="str">
            <v>AUX. PROD. PP</v>
          </cell>
          <cell r="E110" t="str">
            <v>FABRICA</v>
          </cell>
        </row>
        <row r="111">
          <cell r="A111">
            <v>1751</v>
          </cell>
          <cell r="B111" t="str">
            <v>CRISPINIANA OLIVEIRA DA SILVA</v>
          </cell>
          <cell r="C111" t="str">
            <v>PRODUCAO DE POLPA</v>
          </cell>
          <cell r="D111" t="str">
            <v>AUX. PROD. PP</v>
          </cell>
          <cell r="E111" t="str">
            <v>FABRICA</v>
          </cell>
        </row>
        <row r="112">
          <cell r="A112">
            <v>99010</v>
          </cell>
          <cell r="B112" t="str">
            <v>CRISTIANE PIEDADE DE JESUS LIMA</v>
          </cell>
          <cell r="C112" t="str">
            <v>FILIAL - ESCRITÓRIO SSA</v>
          </cell>
          <cell r="D112" t="str">
            <v>ASSISTENTE COMERCIAL</v>
          </cell>
          <cell r="E112" t="str">
            <v>EXPEDIÇÃO</v>
          </cell>
        </row>
        <row r="113">
          <cell r="A113">
            <v>4582</v>
          </cell>
          <cell r="B113" t="str">
            <v>CRISTINA FERREIRA GOMES</v>
          </cell>
          <cell r="C113" t="str">
            <v>REFEITORIO</v>
          </cell>
          <cell r="D113" t="str">
            <v>AUX. COZINHA I-C</v>
          </cell>
          <cell r="E113" t="str">
            <v>EXPEDIÇÃO</v>
          </cell>
        </row>
        <row r="114">
          <cell r="A114">
            <v>4043</v>
          </cell>
          <cell r="B114" t="str">
            <v>DALVA MARIA DOS SANTOS OLIVEIRA</v>
          </cell>
          <cell r="C114" t="str">
            <v>LAVAGEM E SELEÇÃO</v>
          </cell>
          <cell r="D114" t="str">
            <v>AUX. PROD. LS</v>
          </cell>
          <cell r="E114" t="str">
            <v>FABRICA</v>
          </cell>
        </row>
        <row r="115">
          <cell r="A115">
            <v>4922</v>
          </cell>
          <cell r="B115" t="str">
            <v>DANIEL DE JESUS PEREIRA</v>
          </cell>
          <cell r="C115" t="str">
            <v>FILIAL - TRANSPORTE DE MERCADORIA SSA</v>
          </cell>
          <cell r="D115" t="str">
            <v>AJ. DE TRANSPORTE I-C</v>
          </cell>
          <cell r="E115" t="str">
            <v>EXPEDIÇÃO</v>
          </cell>
        </row>
        <row r="116">
          <cell r="A116">
            <v>4943</v>
          </cell>
          <cell r="B116" t="str">
            <v>DANIEL SANTANA FERREIRA</v>
          </cell>
          <cell r="C116" t="str">
            <v>EXTRAÇÃO</v>
          </cell>
          <cell r="D116" t="str">
            <v>AJ DE CARGA E DESCARGA DE MERCADORIA - EX</v>
          </cell>
          <cell r="E116" t="str">
            <v>FABRICA</v>
          </cell>
        </row>
        <row r="117">
          <cell r="A117">
            <v>4520</v>
          </cell>
          <cell r="B117" t="str">
            <v>DANIEL VALE DOS SANTOS</v>
          </cell>
          <cell r="C117" t="str">
            <v>ENTAMBORAMENTO</v>
          </cell>
          <cell r="D117" t="str">
            <v>AUX. PROD. EN</v>
          </cell>
          <cell r="E117" t="str">
            <v>FABRICA</v>
          </cell>
        </row>
        <row r="118">
          <cell r="A118">
            <v>3220</v>
          </cell>
          <cell r="B118" t="str">
            <v>DANILO BORGES MASCARENHAS</v>
          </cell>
          <cell r="C118" t="str">
            <v>ESCRITORIO</v>
          </cell>
          <cell r="D118" t="str">
            <v>COMPRADOR</v>
          </cell>
          <cell r="E118" t="str">
            <v>EXPEDIÇÃO</v>
          </cell>
        </row>
        <row r="119">
          <cell r="A119">
            <v>4940</v>
          </cell>
          <cell r="B119" t="str">
            <v>DANILO DOS SANTOS RODRIGUES</v>
          </cell>
          <cell r="C119" t="str">
            <v>PRODUCAO POLPA QUILO ASSISTENCIA</v>
          </cell>
          <cell r="D119" t="str">
            <v>AUX. PROD. QA</v>
          </cell>
          <cell r="E119" t="str">
            <v>FABRICA</v>
          </cell>
        </row>
        <row r="120">
          <cell r="A120">
            <v>4474</v>
          </cell>
          <cell r="B120" t="str">
            <v>DANILO SANTOS SILVA</v>
          </cell>
          <cell r="C120" t="str">
            <v>LABORATORIO</v>
          </cell>
          <cell r="D120" t="str">
            <v>LABORATORISTA</v>
          </cell>
          <cell r="E120" t="str">
            <v>FABRICA</v>
          </cell>
        </row>
        <row r="121">
          <cell r="A121">
            <v>3642</v>
          </cell>
          <cell r="B121" t="str">
            <v>DAVID DE OLIVEIRA SENA</v>
          </cell>
          <cell r="C121" t="str">
            <v>MANUTENÇÃO</v>
          </cell>
          <cell r="D121" t="str">
            <v>MECANICO DE REFRIGERACAO</v>
          </cell>
          <cell r="E121" t="str">
            <v>FABRICA</v>
          </cell>
        </row>
        <row r="122">
          <cell r="A122">
            <v>4939</v>
          </cell>
          <cell r="B122" t="str">
            <v>DEIVID RIBEIRO DE SOUZA</v>
          </cell>
          <cell r="C122" t="str">
            <v>EXPEDICAO</v>
          </cell>
          <cell r="D122" t="str">
            <v>AJ DE CARGA E DESCARGA DE MERCADORIA</v>
          </cell>
          <cell r="E122" t="str">
            <v>EXPEDIÇÃO</v>
          </cell>
        </row>
        <row r="123">
          <cell r="A123">
            <v>4675</v>
          </cell>
          <cell r="B123" t="str">
            <v>DEODATO SACRAMENTO SANTOS</v>
          </cell>
          <cell r="C123" t="str">
            <v>VENDAS</v>
          </cell>
          <cell r="D123" t="str">
            <v>PROM. VENDAS I-B</v>
          </cell>
          <cell r="E123" t="str">
            <v>EXPEDIÇÃO</v>
          </cell>
        </row>
        <row r="124">
          <cell r="A124">
            <v>4932</v>
          </cell>
          <cell r="B124" t="str">
            <v>DHULHIANY BARBOSA LIMA</v>
          </cell>
          <cell r="C124" t="str">
            <v>ESCRITORIO</v>
          </cell>
          <cell r="D124" t="str">
            <v>TEC. SEG. TRAB. III-A</v>
          </cell>
          <cell r="E124" t="str">
            <v>EXPEDIÇÃO</v>
          </cell>
        </row>
        <row r="125">
          <cell r="A125">
            <v>4422</v>
          </cell>
          <cell r="B125" t="str">
            <v>DIANA RABELLO SILVA BOMFIM</v>
          </cell>
          <cell r="C125" t="str">
            <v>ESCRITORIO</v>
          </cell>
          <cell r="D125" t="str">
            <v>ANALISTA CONTABIL</v>
          </cell>
          <cell r="E125" t="str">
            <v>EXPEDIÇÃO</v>
          </cell>
        </row>
        <row r="126">
          <cell r="A126">
            <v>4918</v>
          </cell>
          <cell r="B126" t="str">
            <v>DIEGO DE SOUSA FARIAS</v>
          </cell>
          <cell r="C126" t="str">
            <v>FILIAL - VENDAS SSA</v>
          </cell>
          <cell r="D126" t="str">
            <v>PROM. VENDAS II-C</v>
          </cell>
          <cell r="E126" t="str">
            <v>EXPEDIÇÃO</v>
          </cell>
        </row>
        <row r="127">
          <cell r="A127">
            <v>3102</v>
          </cell>
          <cell r="B127" t="str">
            <v>DIOGO FERREIRA DE OLIVEIRA NETO</v>
          </cell>
          <cell r="C127" t="str">
            <v>UTILIDADES</v>
          </cell>
          <cell r="D127" t="str">
            <v>OP. UTILIDADES</v>
          </cell>
          <cell r="E127" t="str">
            <v>FABRICA</v>
          </cell>
        </row>
        <row r="128">
          <cell r="A128">
            <v>1155</v>
          </cell>
          <cell r="B128" t="str">
            <v>EDILEUZA NASCIMENTO DA SILVA MATOS</v>
          </cell>
          <cell r="C128" t="str">
            <v>LABORATORIO</v>
          </cell>
          <cell r="D128" t="str">
            <v>LABORATORISTA</v>
          </cell>
          <cell r="E128" t="str">
            <v>FABRICA</v>
          </cell>
        </row>
        <row r="129">
          <cell r="A129">
            <v>2276</v>
          </cell>
          <cell r="B129" t="str">
            <v>EDILMA DOS SANTOS BRITO</v>
          </cell>
          <cell r="C129" t="str">
            <v>PRODUCAO DE POLPA</v>
          </cell>
          <cell r="D129" t="str">
            <v>AUX. PROD. PP</v>
          </cell>
          <cell r="E129" t="str">
            <v>FABRICA</v>
          </cell>
        </row>
        <row r="130">
          <cell r="A130">
            <v>2897</v>
          </cell>
          <cell r="B130" t="str">
            <v>EDILSON DE JESUS SOARES</v>
          </cell>
          <cell r="C130" t="str">
            <v>ENTAMBORAMENTO</v>
          </cell>
          <cell r="D130" t="str">
            <v>AUX. PROD. EN</v>
          </cell>
          <cell r="E130" t="str">
            <v>FABRICA</v>
          </cell>
        </row>
        <row r="131">
          <cell r="A131">
            <v>4734</v>
          </cell>
          <cell r="B131" t="str">
            <v>EDIMAR FRANCISCO DA GAMA</v>
          </cell>
          <cell r="C131" t="str">
            <v>PRODUCAO DE BEBIDA MISTA</v>
          </cell>
          <cell r="D131" t="str">
            <v>AUXILIAR DE ARMAZENAGEM</v>
          </cell>
          <cell r="E131" t="str">
            <v>FABRICA</v>
          </cell>
        </row>
        <row r="132">
          <cell r="A132">
            <v>4221</v>
          </cell>
          <cell r="B132" t="str">
            <v>EDIMILSON DE CARVALHO SILVA</v>
          </cell>
          <cell r="C132" t="str">
            <v>TRANSPORTE DE MERCADORIA</v>
          </cell>
          <cell r="D132" t="str">
            <v>AJ. DE TRANSPORTE I-C</v>
          </cell>
          <cell r="E132" t="str">
            <v>EXPEDIÇÃO</v>
          </cell>
        </row>
        <row r="133">
          <cell r="A133">
            <v>10012</v>
          </cell>
          <cell r="B133" t="str">
            <v>EDIMILSON SOARES DE OLIVEIRA</v>
          </cell>
          <cell r="C133" t="str">
            <v>AUTONOMO</v>
          </cell>
          <cell r="D133" t="str">
            <v>AUTONOMO</v>
          </cell>
          <cell r="E133" t="str">
            <v>N/D</v>
          </cell>
        </row>
        <row r="134">
          <cell r="A134">
            <v>2388</v>
          </cell>
          <cell r="B134" t="str">
            <v>EDISON DE JESUS SANTOS</v>
          </cell>
          <cell r="C134" t="str">
            <v>PRODUCAO DE POLPA</v>
          </cell>
          <cell r="D134" t="str">
            <v>OP. MAQUINA SENIOR</v>
          </cell>
          <cell r="E134" t="str">
            <v>FABRICA</v>
          </cell>
        </row>
        <row r="135">
          <cell r="A135">
            <v>3225</v>
          </cell>
          <cell r="B135" t="str">
            <v>EDIVAN DE SOUZA SILVA</v>
          </cell>
          <cell r="C135" t="str">
            <v>PRODUCAO DE POLPA</v>
          </cell>
          <cell r="D135" t="str">
            <v>OP. MAQUINA PLENO</v>
          </cell>
          <cell r="E135" t="str">
            <v>FABRICA</v>
          </cell>
        </row>
        <row r="136">
          <cell r="A136">
            <v>4730</v>
          </cell>
          <cell r="B136" t="str">
            <v>EDIVANIA DA SILVA OLIVEIRA</v>
          </cell>
          <cell r="C136" t="str">
            <v>LABORATORIO</v>
          </cell>
          <cell r="D136" t="str">
            <v>ASSISTENTE DE GESTAO AMBIENTAL</v>
          </cell>
          <cell r="E136" t="str">
            <v>FABRICA</v>
          </cell>
        </row>
        <row r="137">
          <cell r="A137">
            <v>10020</v>
          </cell>
          <cell r="B137" t="str">
            <v>EDIVANIO RODRIGUES DE ALMEIDA</v>
          </cell>
          <cell r="C137" t="str">
            <v>AUTONOMO</v>
          </cell>
          <cell r="D137" t="str">
            <v>AUTONOMO</v>
          </cell>
          <cell r="E137" t="str">
            <v>N/D</v>
          </cell>
        </row>
        <row r="138">
          <cell r="A138">
            <v>1234</v>
          </cell>
          <cell r="B138" t="str">
            <v>EDMILSON OLIVEIRA BISPO</v>
          </cell>
          <cell r="C138" t="str">
            <v>MANUTENÇÃO</v>
          </cell>
          <cell r="D138" t="str">
            <v>LIDER DE MANUTENCAO MECANICA</v>
          </cell>
          <cell r="E138" t="str">
            <v>FABRICA</v>
          </cell>
        </row>
        <row r="139">
          <cell r="A139">
            <v>10036</v>
          </cell>
          <cell r="B139" t="str">
            <v>EDMUNDO DE JESUS PINHEIRO</v>
          </cell>
          <cell r="C139" t="str">
            <v>AUTONOMO</v>
          </cell>
          <cell r="D139" t="str">
            <v>AUTONOMO</v>
          </cell>
          <cell r="E139" t="str">
            <v>N/D</v>
          </cell>
        </row>
        <row r="140">
          <cell r="A140">
            <v>4314</v>
          </cell>
          <cell r="B140" t="str">
            <v>EDNAI PUREZA DOS SANTOS</v>
          </cell>
          <cell r="C140" t="str">
            <v>LAVAGEM E SELEÇÃO</v>
          </cell>
          <cell r="D140" t="str">
            <v>AUX. PROD. LS</v>
          </cell>
          <cell r="E140" t="str">
            <v>FABRICA</v>
          </cell>
        </row>
        <row r="141">
          <cell r="A141">
            <v>4163</v>
          </cell>
          <cell r="B141" t="str">
            <v>EDNEIDE MARQUES ALVES AMARAL</v>
          </cell>
          <cell r="C141" t="str">
            <v>LABORATORIO</v>
          </cell>
          <cell r="D141" t="str">
            <v>LABORATORISTA</v>
          </cell>
          <cell r="E141" t="str">
            <v>FABRICA</v>
          </cell>
        </row>
        <row r="142">
          <cell r="A142">
            <v>3693</v>
          </cell>
          <cell r="B142" t="str">
            <v>EDSON LACERDA DOS SANTOS</v>
          </cell>
          <cell r="C142" t="str">
            <v>ENTAMBORAMENTO</v>
          </cell>
          <cell r="D142" t="str">
            <v>AUX. PROD. EN</v>
          </cell>
          <cell r="E142" t="str">
            <v>FABRICA</v>
          </cell>
        </row>
        <row r="143">
          <cell r="A143">
            <v>4104</v>
          </cell>
          <cell r="B143" t="str">
            <v>EDSON SANTOS ALMEIDA</v>
          </cell>
          <cell r="C143" t="str">
            <v>TRANSPORTE DE MERCADORIA</v>
          </cell>
          <cell r="D143" t="str">
            <v>MOTORISTA   III-B</v>
          </cell>
          <cell r="E143" t="str">
            <v>EXPEDIÇÃO</v>
          </cell>
        </row>
        <row r="144">
          <cell r="A144">
            <v>4921</v>
          </cell>
          <cell r="B144" t="str">
            <v>EDUARDO TELES DOS SANTOS</v>
          </cell>
          <cell r="C144" t="str">
            <v>ALMOXARIFADO</v>
          </cell>
          <cell r="D144" t="str">
            <v>AUXILIAR DE ALMOXARIFADO</v>
          </cell>
          <cell r="E144" t="str">
            <v>FABRICA</v>
          </cell>
        </row>
        <row r="145">
          <cell r="A145">
            <v>4376</v>
          </cell>
          <cell r="B145" t="str">
            <v>EDYCARLA DA SILVA SANTOS</v>
          </cell>
          <cell r="C145" t="str">
            <v>ESCRITORIO</v>
          </cell>
          <cell r="D145" t="str">
            <v>ANALISTA DE FOLHA DE PAGAMENTO</v>
          </cell>
          <cell r="E145" t="str">
            <v>EXPEDIÇÃO</v>
          </cell>
        </row>
        <row r="146">
          <cell r="A146">
            <v>1742</v>
          </cell>
          <cell r="B146" t="str">
            <v>ELENA DE JESUS SANTOS</v>
          </cell>
          <cell r="C146" t="str">
            <v>CORTE DE FRUTAS</v>
          </cell>
          <cell r="D146" t="str">
            <v>AUX. PROD. CF</v>
          </cell>
          <cell r="E146" t="str">
            <v>FABRICA</v>
          </cell>
        </row>
        <row r="147">
          <cell r="A147">
            <v>3972</v>
          </cell>
          <cell r="B147" t="str">
            <v>ELENILTON NEVES DOS SANTOS</v>
          </cell>
          <cell r="C147" t="str">
            <v>MANUTENÇÃO</v>
          </cell>
          <cell r="D147" t="str">
            <v>AUX.DE MECANICO I-B</v>
          </cell>
          <cell r="E147" t="str">
            <v>FABRICA</v>
          </cell>
        </row>
        <row r="148">
          <cell r="A148">
            <v>4002</v>
          </cell>
          <cell r="B148" t="str">
            <v>ELIAN SILVA DE SOUZA</v>
          </cell>
          <cell r="C148" t="str">
            <v>FILIAL - VENDAS SSA</v>
          </cell>
          <cell r="D148" t="str">
            <v>VENDEDOR</v>
          </cell>
          <cell r="E148" t="str">
            <v>EXPEDIÇÃO</v>
          </cell>
        </row>
        <row r="149">
          <cell r="A149">
            <v>1246</v>
          </cell>
          <cell r="B149" t="str">
            <v>ELIANA DE ARAUJO SILVA</v>
          </cell>
          <cell r="C149" t="str">
            <v>ESCRITORIO</v>
          </cell>
          <cell r="D149" t="str">
            <v>TELEFONISTA III</v>
          </cell>
          <cell r="E149" t="str">
            <v>EXPEDIÇÃO</v>
          </cell>
        </row>
        <row r="150">
          <cell r="A150">
            <v>2841</v>
          </cell>
          <cell r="B150" t="str">
            <v>ELIANA SILVA DE ARAUJO</v>
          </cell>
          <cell r="C150" t="str">
            <v>CORTE DE FRUTAS</v>
          </cell>
          <cell r="D150" t="str">
            <v>AUX. PROD. CF</v>
          </cell>
          <cell r="E150" t="str">
            <v>FABRICA</v>
          </cell>
        </row>
        <row r="151">
          <cell r="A151">
            <v>3217</v>
          </cell>
          <cell r="B151" t="str">
            <v>ELIANA SILVA RODRIGUES</v>
          </cell>
          <cell r="C151" t="str">
            <v>VENDAS</v>
          </cell>
          <cell r="D151" t="str">
            <v>VENDEDORA</v>
          </cell>
          <cell r="E151" t="str">
            <v>EXPEDIÇÃO</v>
          </cell>
        </row>
        <row r="152">
          <cell r="A152">
            <v>2884</v>
          </cell>
          <cell r="B152" t="str">
            <v>ELIAS DE SOUZA NASCIMENTO</v>
          </cell>
          <cell r="C152" t="str">
            <v>PRODUCAO DE POLPA</v>
          </cell>
          <cell r="D152" t="str">
            <v>OP. MAQUINA SENIOR</v>
          </cell>
          <cell r="E152" t="str">
            <v>FABRICA</v>
          </cell>
        </row>
        <row r="153">
          <cell r="A153">
            <v>4961</v>
          </cell>
          <cell r="B153" t="str">
            <v>ELISAMA DOS SANTOS CONCEICAO</v>
          </cell>
          <cell r="C153" t="str">
            <v>ESCRITORIO</v>
          </cell>
          <cell r="D153" t="str">
            <v>APRENDIZ AUX. DE ESCRITORIO</v>
          </cell>
          <cell r="E153" t="str">
            <v>EXPEDIÇÃO</v>
          </cell>
        </row>
        <row r="154">
          <cell r="A154">
            <v>839</v>
          </cell>
          <cell r="B154" t="str">
            <v>ELIZETE SILVA AMORIM</v>
          </cell>
          <cell r="C154" t="str">
            <v>PRODUCAO DE POLPA</v>
          </cell>
          <cell r="D154" t="str">
            <v>OP. MAQUINA PLENO</v>
          </cell>
          <cell r="E154" t="str">
            <v>FABRICA</v>
          </cell>
        </row>
        <row r="155">
          <cell r="A155">
            <v>4966</v>
          </cell>
          <cell r="B155" t="str">
            <v>EMERSON SOUZA SILVA</v>
          </cell>
          <cell r="C155" t="str">
            <v>ESTOQUE</v>
          </cell>
          <cell r="D155" t="str">
            <v>AUXILIAR DE ESTOQUE</v>
          </cell>
          <cell r="E155" t="str">
            <v>FABRICA</v>
          </cell>
        </row>
        <row r="156">
          <cell r="A156">
            <v>4787</v>
          </cell>
          <cell r="B156" t="str">
            <v>EMESON DE JESUS OLIVEIRA</v>
          </cell>
          <cell r="C156" t="str">
            <v>ESCRITORIO</v>
          </cell>
          <cell r="D156" t="str">
            <v>APRENDIZ AUX. DE ESCRITORIO</v>
          </cell>
          <cell r="E156" t="str">
            <v>EXPEDIÇÃO</v>
          </cell>
        </row>
        <row r="157">
          <cell r="A157">
            <v>10011</v>
          </cell>
          <cell r="B157" t="str">
            <v>ERIVALDO DE JESUS SANTOS</v>
          </cell>
          <cell r="C157" t="str">
            <v>AUTONOMO</v>
          </cell>
          <cell r="D157" t="str">
            <v>AUTONOMO</v>
          </cell>
          <cell r="E157" t="str">
            <v>N/D</v>
          </cell>
        </row>
        <row r="158">
          <cell r="A158">
            <v>4935</v>
          </cell>
          <cell r="B158" t="str">
            <v>ERIVALDO MESSIAS DOS SANTOS</v>
          </cell>
          <cell r="C158" t="str">
            <v>LIMPEZA</v>
          </cell>
          <cell r="D158" t="str">
            <v>OPERADOR DE TRATOR</v>
          </cell>
          <cell r="E158" t="str">
            <v>FABRICA</v>
          </cell>
        </row>
        <row r="159">
          <cell r="A159">
            <v>4950</v>
          </cell>
          <cell r="B159" t="str">
            <v>ESTER DIAS BRITO</v>
          </cell>
          <cell r="C159" t="str">
            <v>ESCRITORIO</v>
          </cell>
          <cell r="D159" t="str">
            <v>APRENDIZ AUX. DE ESCRITORIO</v>
          </cell>
          <cell r="E159" t="str">
            <v>EXPEDIÇÃO</v>
          </cell>
        </row>
        <row r="160">
          <cell r="A160">
            <v>10030</v>
          </cell>
          <cell r="B160" t="str">
            <v>EUDARIO OLIVEIRA DE ALMEIDA</v>
          </cell>
          <cell r="C160" t="str">
            <v>AUTONOMO</v>
          </cell>
          <cell r="D160" t="str">
            <v>AUTONOMO</v>
          </cell>
          <cell r="E160" t="str">
            <v>N/D</v>
          </cell>
        </row>
        <row r="161">
          <cell r="A161">
            <v>4920</v>
          </cell>
          <cell r="B161" t="str">
            <v>EVERALDO SILVA DOS SANTOS</v>
          </cell>
          <cell r="C161" t="str">
            <v>EXTRAÇÃO</v>
          </cell>
          <cell r="D161" t="str">
            <v>AJ DE CARGA E DESCARGA DE MERCADORIA - EX</v>
          </cell>
          <cell r="E161" t="str">
            <v>FABRICA</v>
          </cell>
        </row>
        <row r="162">
          <cell r="A162">
            <v>4399</v>
          </cell>
          <cell r="B162" t="str">
            <v>EVERTON BARRETO CARDOZO</v>
          </cell>
          <cell r="C162" t="str">
            <v>EXPEDICAO</v>
          </cell>
          <cell r="D162" t="str">
            <v>AJ DE CARGA E DESCARGA DE MERCADORIA</v>
          </cell>
          <cell r="E162" t="str">
            <v>EXPEDIÇÃO</v>
          </cell>
        </row>
        <row r="163">
          <cell r="A163">
            <v>4004</v>
          </cell>
          <cell r="B163" t="str">
            <v>FABIO DA CRUZ SANTOS</v>
          </cell>
          <cell r="C163" t="str">
            <v>FILIAL - TRANSPORTE DE MERCADORIA SSA</v>
          </cell>
          <cell r="D163" t="str">
            <v>MOTORISTA   III-B</v>
          </cell>
          <cell r="E163" t="str">
            <v>EXPEDIÇÃO</v>
          </cell>
        </row>
        <row r="164">
          <cell r="A164">
            <v>3797</v>
          </cell>
          <cell r="B164" t="str">
            <v>FABIO DA SILVA AMARAL</v>
          </cell>
          <cell r="C164" t="str">
            <v>ALMOXARIFADO</v>
          </cell>
          <cell r="D164" t="str">
            <v>LIDER DE ALMOXARIFADO</v>
          </cell>
          <cell r="E164" t="str">
            <v>FABRICA</v>
          </cell>
        </row>
        <row r="165">
          <cell r="A165">
            <v>4663</v>
          </cell>
          <cell r="B165" t="str">
            <v>FABIO DE JESUS DOS SANTOS</v>
          </cell>
          <cell r="C165" t="str">
            <v>FILIAL - VENDAS SSA</v>
          </cell>
          <cell r="D165" t="str">
            <v>VENDEDOR</v>
          </cell>
          <cell r="E165" t="str">
            <v>EXPEDIÇÃO</v>
          </cell>
        </row>
        <row r="166">
          <cell r="A166">
            <v>4481</v>
          </cell>
          <cell r="B166" t="str">
            <v>FABIO FALCAO DA SILVA</v>
          </cell>
          <cell r="C166" t="str">
            <v>EXPEDICAO</v>
          </cell>
          <cell r="D166" t="str">
            <v>CONFERENTE</v>
          </cell>
          <cell r="E166" t="str">
            <v>EXPEDIÇÃO</v>
          </cell>
        </row>
        <row r="167">
          <cell r="A167">
            <v>3094</v>
          </cell>
          <cell r="B167" t="str">
            <v>FABIO SEVERINO DA SILVA ALVES</v>
          </cell>
          <cell r="C167" t="str">
            <v>MANUTENÇÃO</v>
          </cell>
          <cell r="D167" t="str">
            <v>MECANICO DE EMPILHADEIRA</v>
          </cell>
          <cell r="E167" t="str">
            <v>FABRICA</v>
          </cell>
        </row>
        <row r="168">
          <cell r="A168">
            <v>4962</v>
          </cell>
          <cell r="B168" t="str">
            <v>FAGNER DE OLIVEIRA BORGES</v>
          </cell>
          <cell r="C168" t="str">
            <v>ALMOXARIFADO</v>
          </cell>
          <cell r="D168" t="str">
            <v>APRENDIZ AUX. DE ESCRITORIO</v>
          </cell>
          <cell r="E168" t="str">
            <v>FABRICA</v>
          </cell>
        </row>
        <row r="169">
          <cell r="A169">
            <v>301</v>
          </cell>
          <cell r="B169" t="str">
            <v>FELIPE PORTO BRANDAO</v>
          </cell>
          <cell r="C169" t="str">
            <v>EXTRAÇÃO</v>
          </cell>
          <cell r="D169" t="str">
            <v>OP. MAQUINA SENIOR</v>
          </cell>
          <cell r="E169" t="str">
            <v>FABRICA</v>
          </cell>
        </row>
        <row r="170">
          <cell r="A170">
            <v>4625</v>
          </cell>
          <cell r="B170" t="str">
            <v>FELIPE SALGADO DA SILVA</v>
          </cell>
          <cell r="C170" t="str">
            <v>FILIAL - TRANSPORTE DE MERCADORIA SSA</v>
          </cell>
          <cell r="D170" t="str">
            <v>AJ. DE TRANSPORTE I-C</v>
          </cell>
          <cell r="E170" t="str">
            <v>EXPEDIÇÃO</v>
          </cell>
        </row>
        <row r="171">
          <cell r="A171">
            <v>4928</v>
          </cell>
          <cell r="B171" t="str">
            <v>FELIPE SANTOS DO AMOR DIVINO</v>
          </cell>
          <cell r="C171" t="str">
            <v>EXPEDICAO</v>
          </cell>
          <cell r="D171" t="str">
            <v>AJ DE CARGA E DESCARGA DE MERCADORIA</v>
          </cell>
          <cell r="E171" t="str">
            <v>EXPEDIÇÃO</v>
          </cell>
        </row>
        <row r="172">
          <cell r="A172">
            <v>4901</v>
          </cell>
          <cell r="B172" t="str">
            <v>FLAVIA DE OLIVEIRA SENA</v>
          </cell>
          <cell r="C172" t="str">
            <v>ESCRITORIO</v>
          </cell>
          <cell r="D172" t="str">
            <v>APRENDIZ AUX. DE ESCRITORIO</v>
          </cell>
          <cell r="E172" t="str">
            <v>EXPEDIÇÃO</v>
          </cell>
        </row>
        <row r="173">
          <cell r="A173">
            <v>3552</v>
          </cell>
          <cell r="B173" t="str">
            <v>FLAVIO DOS SANTOS ALVES</v>
          </cell>
          <cell r="C173" t="str">
            <v>ESTOQUE</v>
          </cell>
          <cell r="D173" t="str">
            <v>ARMAZENISTA</v>
          </cell>
          <cell r="E173" t="str">
            <v>FABRICA</v>
          </cell>
        </row>
        <row r="174">
          <cell r="A174">
            <v>4726</v>
          </cell>
          <cell r="B174" t="str">
            <v>FRANCISCO ARAUJO RIOS NETO</v>
          </cell>
          <cell r="C174" t="str">
            <v>ESCRITORIO</v>
          </cell>
          <cell r="D174" t="str">
            <v>ASSISTENTE DE ESCRITA FISCAL</v>
          </cell>
          <cell r="E174" t="str">
            <v>EXPEDIÇÃO</v>
          </cell>
        </row>
        <row r="175">
          <cell r="A175">
            <v>4397</v>
          </cell>
          <cell r="B175" t="str">
            <v>FRANCISCO PURIFICAÇÃO DE JESUS</v>
          </cell>
          <cell r="C175" t="str">
            <v>MANUTENÇÃO</v>
          </cell>
          <cell r="D175" t="str">
            <v>AUXILIAR DE ELETRICISTA</v>
          </cell>
          <cell r="E175" t="str">
            <v>FABRICA</v>
          </cell>
        </row>
        <row r="176">
          <cell r="A176">
            <v>1313</v>
          </cell>
          <cell r="B176" t="str">
            <v>FRANCISCO SILVA DA CONCEICAO</v>
          </cell>
          <cell r="C176" t="str">
            <v>ENTAMBORAMENTO</v>
          </cell>
          <cell r="D176" t="str">
            <v>AUX. PROD. EN</v>
          </cell>
          <cell r="E176" t="str">
            <v>FABRICA</v>
          </cell>
        </row>
        <row r="177">
          <cell r="A177">
            <v>4898</v>
          </cell>
          <cell r="B177" t="str">
            <v>GABRIEL MIRANDA DA SILVA</v>
          </cell>
          <cell r="C177" t="str">
            <v>ESCRITORIO</v>
          </cell>
          <cell r="D177" t="str">
            <v>APRENDIZ AUX. DE ESCRITORIO</v>
          </cell>
          <cell r="E177" t="str">
            <v>EXPEDIÇÃO</v>
          </cell>
        </row>
        <row r="178">
          <cell r="A178">
            <v>4941</v>
          </cell>
          <cell r="B178" t="str">
            <v>GENIVALDO OLIVEIRA SOARES</v>
          </cell>
          <cell r="C178" t="str">
            <v>EXTRAÇÃO</v>
          </cell>
          <cell r="D178" t="str">
            <v>AJ DE CARGA E DESCARGA DE MERCADORIA - EX</v>
          </cell>
          <cell r="E178" t="str">
            <v>FABRICA</v>
          </cell>
        </row>
        <row r="179">
          <cell r="A179">
            <v>4757</v>
          </cell>
          <cell r="B179" t="str">
            <v>GEOVANA SILVA TELES</v>
          </cell>
          <cell r="C179" t="str">
            <v>COBRANÇA</v>
          </cell>
          <cell r="D179" t="str">
            <v>AUXILIAR DE COBRANCA</v>
          </cell>
          <cell r="E179" t="str">
            <v>EXPEDIÇÃO</v>
          </cell>
        </row>
        <row r="180">
          <cell r="A180">
            <v>4892</v>
          </cell>
          <cell r="B180" t="str">
            <v>GERSIVANDRO DE OLIVEIRA SOUZA</v>
          </cell>
          <cell r="C180" t="str">
            <v>TRANSPORTE</v>
          </cell>
          <cell r="D180" t="str">
            <v>MOTORISTA   III-B</v>
          </cell>
          <cell r="E180" t="str">
            <v>EXPEDIÇÃO</v>
          </cell>
        </row>
        <row r="181">
          <cell r="A181">
            <v>4183</v>
          </cell>
          <cell r="B181" t="str">
            <v>GERSIVANE DE OLIVEIRA SOUZA</v>
          </cell>
          <cell r="C181" t="str">
            <v>TRANSPORTE</v>
          </cell>
          <cell r="D181" t="str">
            <v>MOTORISTA   III-B</v>
          </cell>
          <cell r="E181" t="str">
            <v>EXPEDIÇÃO</v>
          </cell>
        </row>
        <row r="182">
          <cell r="A182">
            <v>4776</v>
          </cell>
          <cell r="B182" t="str">
            <v>GILBERTO ALVES DE SOUSA</v>
          </cell>
          <cell r="C182" t="str">
            <v>VENDAS</v>
          </cell>
          <cell r="D182" t="str">
            <v>PROM. VENDAS I-B</v>
          </cell>
          <cell r="E182" t="str">
            <v>EXPEDIÇÃO</v>
          </cell>
        </row>
        <row r="183">
          <cell r="A183">
            <v>4719</v>
          </cell>
          <cell r="B183" t="str">
            <v>GILMAR NASCIMENTO BASTOS</v>
          </cell>
          <cell r="C183" t="str">
            <v>PRODUÇÃO PA</v>
          </cell>
          <cell r="D183" t="str">
            <v>AUX. PROD. PA</v>
          </cell>
          <cell r="E183" t="str">
            <v>FABRICA</v>
          </cell>
        </row>
        <row r="184">
          <cell r="A184">
            <v>4912</v>
          </cell>
          <cell r="B184" t="str">
            <v>GILMARIO DA RESSURREICAO ALMEIDA</v>
          </cell>
          <cell r="C184" t="str">
            <v>EXTRAÇÃO</v>
          </cell>
          <cell r="D184" t="str">
            <v>AJ DE CARGA E DESCARGA DE MERCADORIA - EX</v>
          </cell>
          <cell r="E184" t="str">
            <v>FABRICA</v>
          </cell>
        </row>
        <row r="185">
          <cell r="A185">
            <v>4571</v>
          </cell>
          <cell r="B185" t="str">
            <v>GILSON PEREIRA VITORIO</v>
          </cell>
          <cell r="C185" t="str">
            <v>TRANSPORTE</v>
          </cell>
          <cell r="D185" t="str">
            <v>AJ. DE TRANSPORTE I-C</v>
          </cell>
          <cell r="E185" t="str">
            <v>EXPEDIÇÃO</v>
          </cell>
        </row>
        <row r="186">
          <cell r="A186">
            <v>4963</v>
          </cell>
          <cell r="B186" t="str">
            <v>GILTON ALMEIDA SILVA</v>
          </cell>
          <cell r="C186" t="str">
            <v>ALMOXARIFADO</v>
          </cell>
          <cell r="D186" t="str">
            <v>APRENDIZ AUX. DE ESCRITORIO</v>
          </cell>
          <cell r="E186" t="str">
            <v>FABRICA</v>
          </cell>
        </row>
        <row r="187">
          <cell r="A187">
            <v>3219</v>
          </cell>
          <cell r="B187" t="str">
            <v>GILVAN DOS SANTOS</v>
          </cell>
          <cell r="C187" t="str">
            <v>VENDAS</v>
          </cell>
          <cell r="D187" t="str">
            <v>PROM. VENDAS II-C</v>
          </cell>
          <cell r="E187" t="str">
            <v>EXPEDIÇÃO</v>
          </cell>
        </row>
        <row r="188">
          <cell r="A188">
            <v>4055</v>
          </cell>
          <cell r="B188" t="str">
            <v>GIOVANI DE JESUS SANTOS</v>
          </cell>
          <cell r="C188" t="str">
            <v>TRANSPORTE</v>
          </cell>
          <cell r="D188" t="str">
            <v>MOTORISTA   III-B</v>
          </cell>
          <cell r="E188" t="str">
            <v>EXPEDIÇÃO</v>
          </cell>
        </row>
        <row r="189">
          <cell r="A189">
            <v>10010</v>
          </cell>
          <cell r="B189" t="str">
            <v>GLESON ROCHA SILVA</v>
          </cell>
          <cell r="C189" t="str">
            <v>AUTONOMO</v>
          </cell>
          <cell r="D189" t="str">
            <v>AUTONOMO</v>
          </cell>
          <cell r="E189" t="str">
            <v>N/D</v>
          </cell>
        </row>
        <row r="190">
          <cell r="A190">
            <v>4900</v>
          </cell>
          <cell r="B190" t="str">
            <v>GLEYDSON BORGES SILVA</v>
          </cell>
          <cell r="C190" t="str">
            <v>ESCRITORIO</v>
          </cell>
          <cell r="D190" t="str">
            <v>APRENDIZ AUX. DE ESCRITORIO</v>
          </cell>
          <cell r="E190" t="str">
            <v>EXPEDIÇÃO</v>
          </cell>
        </row>
        <row r="191">
          <cell r="A191">
            <v>4630</v>
          </cell>
          <cell r="B191" t="str">
            <v>GRAZIELE FREITAS GOMES</v>
          </cell>
          <cell r="C191" t="str">
            <v>PRODUÇÃO</v>
          </cell>
          <cell r="D191" t="str">
            <v>AUXILIAR ADMINISTRATIVO</v>
          </cell>
          <cell r="E191" t="str">
            <v>FABRICA</v>
          </cell>
        </row>
        <row r="192">
          <cell r="A192">
            <v>3994</v>
          </cell>
          <cell r="B192" t="str">
            <v>GUTEMBERG DE OLIVEIRA SENA</v>
          </cell>
          <cell r="C192" t="str">
            <v>ALMOXARIFADO</v>
          </cell>
          <cell r="D192" t="str">
            <v>ALMOXARIFE</v>
          </cell>
          <cell r="E192" t="str">
            <v>FABRICA</v>
          </cell>
        </row>
        <row r="193">
          <cell r="A193">
            <v>3896</v>
          </cell>
          <cell r="B193" t="str">
            <v>HAMILTON RIBEIRO DE OLIVEIRA</v>
          </cell>
          <cell r="C193" t="str">
            <v>ESCRITORIO</v>
          </cell>
          <cell r="D193" t="str">
            <v>ASSISTENTE DE TI</v>
          </cell>
          <cell r="E193" t="str">
            <v>EXPEDIÇÃO</v>
          </cell>
        </row>
        <row r="194">
          <cell r="A194">
            <v>3259</v>
          </cell>
          <cell r="B194" t="str">
            <v>HELENA MARIA SILVA SANTOS</v>
          </cell>
          <cell r="C194" t="str">
            <v>CORTE DE FRUTAS</v>
          </cell>
          <cell r="D194" t="str">
            <v>AUX. PROD. CF</v>
          </cell>
          <cell r="E194" t="str">
            <v>FABRICA</v>
          </cell>
        </row>
        <row r="195">
          <cell r="A195">
            <v>3745</v>
          </cell>
          <cell r="B195" t="str">
            <v>HELENITO NASCIMENTO BASTOS</v>
          </cell>
          <cell r="C195" t="str">
            <v>PRODUCAO POLPA ASSISTENCIA</v>
          </cell>
          <cell r="D195" t="str">
            <v>AUX. PROD. PA</v>
          </cell>
          <cell r="E195" t="str">
            <v>FABRICA</v>
          </cell>
        </row>
        <row r="196">
          <cell r="A196">
            <v>3506</v>
          </cell>
          <cell r="B196" t="str">
            <v>HERICA MOTA SCHNEIDER</v>
          </cell>
          <cell r="C196" t="str">
            <v>ESCRITORIO</v>
          </cell>
          <cell r="D196" t="str">
            <v>ASSISTENTE COMERCIAL</v>
          </cell>
          <cell r="E196" t="str">
            <v>EXPEDIÇÃO</v>
          </cell>
        </row>
        <row r="197">
          <cell r="A197">
            <v>3507</v>
          </cell>
          <cell r="B197" t="str">
            <v>HILMARA SANTOS LOPES</v>
          </cell>
          <cell r="C197" t="str">
            <v>ESCRITORIO</v>
          </cell>
          <cell r="D197" t="str">
            <v>ANALISTA DE COBRANCA</v>
          </cell>
          <cell r="E197" t="str">
            <v>EXPEDIÇÃO</v>
          </cell>
        </row>
        <row r="198">
          <cell r="A198">
            <v>3647</v>
          </cell>
          <cell r="B198" t="str">
            <v>HOSANA DE JESUS SILVA</v>
          </cell>
          <cell r="C198" t="str">
            <v>REFEITORIO</v>
          </cell>
          <cell r="D198" t="str">
            <v>AUX. COZINHA I-C</v>
          </cell>
          <cell r="E198" t="str">
            <v>EXPEDIÇÃO</v>
          </cell>
        </row>
        <row r="199">
          <cell r="A199">
            <v>4902</v>
          </cell>
          <cell r="B199" t="str">
            <v>IANA MARIA SANTOS OLIVEIRA</v>
          </cell>
          <cell r="C199" t="str">
            <v>ESCRITORIO</v>
          </cell>
          <cell r="D199" t="str">
            <v>APRENDIZ AUX. DE ESCRITORIO</v>
          </cell>
          <cell r="E199" t="str">
            <v>EXPEDIÇÃO</v>
          </cell>
        </row>
        <row r="200">
          <cell r="A200">
            <v>4956</v>
          </cell>
          <cell r="B200" t="str">
            <v>IAPONAN DA SILVA MACEDO NETO</v>
          </cell>
          <cell r="C200" t="str">
            <v>VENDAS</v>
          </cell>
          <cell r="D200" t="str">
            <v>PROM. VENDAS I-B</v>
          </cell>
          <cell r="E200" t="str">
            <v>EXPEDIÇÃO</v>
          </cell>
        </row>
        <row r="201">
          <cell r="A201">
            <v>4694</v>
          </cell>
          <cell r="B201" t="str">
            <v>ICARO COSTA LIMA</v>
          </cell>
          <cell r="C201" t="str">
            <v>FILIAL - VENDAS SSA</v>
          </cell>
          <cell r="D201" t="str">
            <v>VENDEDOR</v>
          </cell>
          <cell r="E201" t="str">
            <v>EXPEDIÇÃO</v>
          </cell>
        </row>
        <row r="202">
          <cell r="A202">
            <v>4706</v>
          </cell>
          <cell r="B202" t="str">
            <v>IGOR HENRIQUE FERREIRA DA SILVA</v>
          </cell>
          <cell r="C202" t="str">
            <v>UTILIDADES</v>
          </cell>
          <cell r="D202" t="str">
            <v>OP. UTILIDADES</v>
          </cell>
          <cell r="E202" t="str">
            <v>FABRICA</v>
          </cell>
        </row>
        <row r="203">
          <cell r="A203">
            <v>4946</v>
          </cell>
          <cell r="B203" t="str">
            <v>IGOR SAMPAIO GRACA</v>
          </cell>
          <cell r="C203" t="str">
            <v>FILIAL - VENDAS SSA</v>
          </cell>
          <cell r="D203" t="str">
            <v>PROM. VENDAS II-C</v>
          </cell>
          <cell r="E203" t="str">
            <v>EXPEDIÇÃO</v>
          </cell>
        </row>
        <row r="204">
          <cell r="A204">
            <v>4480</v>
          </cell>
          <cell r="B204" t="str">
            <v>IGOR SANTOS BRANDAO</v>
          </cell>
          <cell r="C204" t="str">
            <v>PRODUCAO DE POLPA</v>
          </cell>
          <cell r="D204" t="str">
            <v>OP. MAQUINA JR</v>
          </cell>
          <cell r="E204" t="str">
            <v>FABRICA</v>
          </cell>
        </row>
        <row r="205">
          <cell r="A205">
            <v>4008</v>
          </cell>
          <cell r="B205" t="str">
            <v>IMEZIO TELES DOS SANTOS</v>
          </cell>
          <cell r="C205" t="str">
            <v>PRODUÇÃO EN</v>
          </cell>
          <cell r="D205" t="str">
            <v>AUX. PROD. EN</v>
          </cell>
          <cell r="E205" t="str">
            <v>FABRICA</v>
          </cell>
        </row>
        <row r="206">
          <cell r="A206">
            <v>4967</v>
          </cell>
          <cell r="B206" t="str">
            <v>IOLANDA RAQUEL GARCIA COSTA</v>
          </cell>
          <cell r="C206" t="str">
            <v>VENDAS</v>
          </cell>
          <cell r="D206" t="str">
            <v>PROM. VENDAS II-C</v>
          </cell>
          <cell r="E206" t="str">
            <v>EXPEDIÇÃO</v>
          </cell>
        </row>
        <row r="207">
          <cell r="A207">
            <v>2842</v>
          </cell>
          <cell r="B207" t="str">
            <v>IRACEMA OLIVEIRA DA SILVA SANTOS</v>
          </cell>
          <cell r="C207" t="str">
            <v>PRODUÇÃO DE POLPA</v>
          </cell>
          <cell r="D207" t="str">
            <v>OP. MAQUINA SENIOR</v>
          </cell>
          <cell r="E207" t="str">
            <v>FABRICA</v>
          </cell>
        </row>
        <row r="208">
          <cell r="A208">
            <v>10037</v>
          </cell>
          <cell r="B208" t="str">
            <v>ISRAEL DA SILVA SANTOS</v>
          </cell>
          <cell r="C208" t="str">
            <v>AUTONOMO</v>
          </cell>
          <cell r="D208" t="str">
            <v>AUTONOMO</v>
          </cell>
          <cell r="E208" t="str">
            <v>N/D</v>
          </cell>
        </row>
        <row r="209">
          <cell r="A209">
            <v>4784</v>
          </cell>
          <cell r="B209" t="str">
            <v>IVANA BARBOSA CRUZ GALVAO</v>
          </cell>
          <cell r="C209" t="str">
            <v>VENDAS</v>
          </cell>
          <cell r="D209" t="str">
            <v>PROM. VENDAS I-B</v>
          </cell>
          <cell r="E209" t="str">
            <v>EXPEDIÇÃO</v>
          </cell>
        </row>
        <row r="210">
          <cell r="A210">
            <v>10004</v>
          </cell>
          <cell r="B210" t="str">
            <v>IVANILDO DE JESUS SILVA</v>
          </cell>
          <cell r="C210" t="str">
            <v>AUTONOMO</v>
          </cell>
          <cell r="D210" t="str">
            <v>AUTONOMO</v>
          </cell>
          <cell r="E210" t="str">
            <v>N/D</v>
          </cell>
        </row>
        <row r="211">
          <cell r="A211">
            <v>4781</v>
          </cell>
          <cell r="B211" t="str">
            <v>IZABEL CRISTINA WANDERLEY MAIA</v>
          </cell>
          <cell r="C211" t="str">
            <v>FILIAL - VENDAS</v>
          </cell>
          <cell r="D211" t="str">
            <v>PROM. VENDAS II-C</v>
          </cell>
          <cell r="E211" t="str">
            <v>EXPEDIÇÃO</v>
          </cell>
        </row>
        <row r="212">
          <cell r="A212">
            <v>4665</v>
          </cell>
          <cell r="B212" t="str">
            <v>JACIARA BATISTA DE MENEZES</v>
          </cell>
          <cell r="C212" t="str">
            <v>TESOURARIA</v>
          </cell>
          <cell r="D212" t="str">
            <v>TESOUREIRA</v>
          </cell>
          <cell r="E212" t="str">
            <v>EXPEDIÇÃO</v>
          </cell>
        </row>
        <row r="213">
          <cell r="A213">
            <v>4380</v>
          </cell>
          <cell r="B213" t="str">
            <v>JACKSON ALMEIDA DE JESUS</v>
          </cell>
          <cell r="D213" t="str">
            <v>AJ DE CARGA E DESCARGA DE MERCADORIA</v>
          </cell>
          <cell r="E213" t="str">
            <v>FABRICA</v>
          </cell>
        </row>
        <row r="214">
          <cell r="A214">
            <v>4779</v>
          </cell>
          <cell r="B214" t="str">
            <v>JACKSON DOS SANTOS REIS</v>
          </cell>
          <cell r="C214" t="str">
            <v>PRODUÇÃO PP</v>
          </cell>
          <cell r="D214" t="str">
            <v>AUX. PROD. PP</v>
          </cell>
          <cell r="E214" t="str">
            <v>FABRICA</v>
          </cell>
        </row>
        <row r="215">
          <cell r="A215">
            <v>4948</v>
          </cell>
          <cell r="B215" t="str">
            <v>JAILSON DOS SANTOS</v>
          </cell>
          <cell r="C215" t="str">
            <v>VENDAS</v>
          </cell>
          <cell r="D215" t="str">
            <v>PROM. VENDAS II-C</v>
          </cell>
          <cell r="E215" t="str">
            <v>EXPEDIÇÃO</v>
          </cell>
        </row>
        <row r="216">
          <cell r="A216">
            <v>4613</v>
          </cell>
          <cell r="B216" t="str">
            <v>JAILTON SILVA OLIVEIRA</v>
          </cell>
          <cell r="C216" t="str">
            <v>LIMPEZA</v>
          </cell>
          <cell r="D216" t="str">
            <v>AGENTE DE SERVICO INTERNO</v>
          </cell>
          <cell r="E216" t="str">
            <v>FABRICA</v>
          </cell>
        </row>
        <row r="217">
          <cell r="A217">
            <v>4147</v>
          </cell>
          <cell r="B217" t="str">
            <v>JAIRTON MERCES DOS SANTOS</v>
          </cell>
          <cell r="C217" t="str">
            <v>LIMPEZA</v>
          </cell>
          <cell r="D217" t="str">
            <v>AUX.  LIMPEZA</v>
          </cell>
          <cell r="E217" t="str">
            <v>FABRICA</v>
          </cell>
        </row>
        <row r="218">
          <cell r="A218">
            <v>4958</v>
          </cell>
          <cell r="B218" t="str">
            <v>JAMILLE GONCALVES DE ALMEIDA</v>
          </cell>
          <cell r="C218" t="str">
            <v>FATURAMENTO</v>
          </cell>
          <cell r="D218" t="str">
            <v>FATURISTA</v>
          </cell>
          <cell r="E218" t="str">
            <v>EXPEDIÇÃO</v>
          </cell>
        </row>
        <row r="219">
          <cell r="A219">
            <v>4401</v>
          </cell>
          <cell r="B219" t="str">
            <v>JANIEL DO ROSARIO RIBEIRO</v>
          </cell>
          <cell r="C219" t="str">
            <v>EXPEDIÇÃO</v>
          </cell>
          <cell r="D219" t="str">
            <v>EMPILHADOR  III-A</v>
          </cell>
          <cell r="E219" t="str">
            <v>EXPEDIÇÃO</v>
          </cell>
        </row>
        <row r="220">
          <cell r="A220">
            <v>4649</v>
          </cell>
          <cell r="B220" t="str">
            <v>JEAN SOARES DA SILVA</v>
          </cell>
          <cell r="C220" t="str">
            <v>EXPEDIÇÃO</v>
          </cell>
          <cell r="D220" t="str">
            <v>EMPILHADOR  III-A</v>
          </cell>
          <cell r="E220" t="str">
            <v>EXPEDIÇÃO</v>
          </cell>
        </row>
        <row r="221">
          <cell r="A221">
            <v>4765</v>
          </cell>
          <cell r="B221" t="str">
            <v>JEANDSON SANTOS E SANTOS</v>
          </cell>
          <cell r="C221" t="str">
            <v>OFICINA DE TAMBOR</v>
          </cell>
          <cell r="D221" t="str">
            <v>PINTOR DE MANUTENCAO</v>
          </cell>
          <cell r="E221" t="str">
            <v>FABRICA</v>
          </cell>
        </row>
        <row r="222">
          <cell r="A222">
            <v>4951</v>
          </cell>
          <cell r="B222" t="str">
            <v>JEFERSON PEREIRA SOUZA</v>
          </cell>
          <cell r="C222" t="str">
            <v>ESCRITORIO</v>
          </cell>
          <cell r="D222" t="str">
            <v>APRENDIZ AUX. DE ESCRITORIO</v>
          </cell>
          <cell r="E222" t="str">
            <v>EXPEDIÇÃO</v>
          </cell>
        </row>
        <row r="223">
          <cell r="A223">
            <v>4222</v>
          </cell>
          <cell r="B223" t="str">
            <v>JEOVA ARAUJO DE SOUZA</v>
          </cell>
          <cell r="C223" t="str">
            <v>MANUTENÇÃO</v>
          </cell>
          <cell r="D223" t="str">
            <v>ELETRICISTA II-B</v>
          </cell>
          <cell r="E223" t="str">
            <v>FABRICA</v>
          </cell>
        </row>
        <row r="224">
          <cell r="A224">
            <v>4772</v>
          </cell>
          <cell r="B224" t="str">
            <v>JERSON DOS SANTOS EVANGELISTA</v>
          </cell>
          <cell r="C224" t="str">
            <v>EXTRAÇÃO</v>
          </cell>
          <cell r="D224" t="str">
            <v>AJ DE CARGA E DESCARGA DE MERCADORIA - EX</v>
          </cell>
          <cell r="E224" t="str">
            <v>FABRICA</v>
          </cell>
        </row>
        <row r="225">
          <cell r="A225">
            <v>4931</v>
          </cell>
          <cell r="B225" t="str">
            <v>JERSON SANTANA DA CONCEICAO</v>
          </cell>
          <cell r="C225" t="str">
            <v>EXTRAÇÃO</v>
          </cell>
          <cell r="D225" t="str">
            <v>AJ DE CARGA E DESCARGA DE MERCADORIA - EX</v>
          </cell>
          <cell r="E225" t="str">
            <v>FABRICA</v>
          </cell>
        </row>
        <row r="226">
          <cell r="A226">
            <v>4394</v>
          </cell>
          <cell r="B226" t="str">
            <v>JHONE SANTOS SANTIAGO</v>
          </cell>
          <cell r="C226" t="str">
            <v>VENDAS SSA</v>
          </cell>
          <cell r="D226" t="str">
            <v>VENDEDOR</v>
          </cell>
          <cell r="E226" t="str">
            <v>EXPEDIÇÃO</v>
          </cell>
        </row>
        <row r="227">
          <cell r="A227">
            <v>4701</v>
          </cell>
          <cell r="B227" t="str">
            <v>JOABY BLOIS GOMES</v>
          </cell>
          <cell r="C227" t="str">
            <v>ESTOQUE</v>
          </cell>
          <cell r="D227" t="str">
            <v>CONFERENTE PLENO</v>
          </cell>
          <cell r="E227" t="str">
            <v>EXPEDIÇÃO</v>
          </cell>
        </row>
        <row r="228">
          <cell r="A228">
            <v>1052</v>
          </cell>
          <cell r="B228" t="str">
            <v>JOAO COSTA SANTOS SOBRINHO</v>
          </cell>
          <cell r="C228" t="str">
            <v>PRODUCAO DE POLPA</v>
          </cell>
          <cell r="D228" t="str">
            <v>OP. MAQUINA PLENO</v>
          </cell>
          <cell r="E228" t="str">
            <v>FABRICA</v>
          </cell>
        </row>
        <row r="229">
          <cell r="A229">
            <v>3226</v>
          </cell>
          <cell r="B229" t="str">
            <v>JOAO DE DEUS OLIVEIRA</v>
          </cell>
          <cell r="C229" t="str">
            <v>XAROPARIA</v>
          </cell>
          <cell r="D229" t="str">
            <v>OP. MAQUINA JR</v>
          </cell>
          <cell r="E229" t="str">
            <v>FABRICA</v>
          </cell>
        </row>
        <row r="230">
          <cell r="A230">
            <v>1449</v>
          </cell>
          <cell r="B230" t="str">
            <v>JOAO EUDES SANTA BARBARA ARAUJO</v>
          </cell>
          <cell r="C230" t="str">
            <v>TRANSPORTE DE MERCADORIA</v>
          </cell>
          <cell r="D230" t="str">
            <v>MOTORISTA   III-B</v>
          </cell>
          <cell r="E230" t="str">
            <v>EXPEDIÇÃO</v>
          </cell>
        </row>
        <row r="231">
          <cell r="A231">
            <v>10035</v>
          </cell>
          <cell r="B231" t="str">
            <v>JOHN QUENON BARBOSA CONCEICAO</v>
          </cell>
          <cell r="C231" t="str">
            <v>AUTONOMO</v>
          </cell>
          <cell r="D231" t="str">
            <v>AUTONOMO</v>
          </cell>
          <cell r="E231" t="str">
            <v>N/D</v>
          </cell>
        </row>
        <row r="232">
          <cell r="A232">
            <v>4369</v>
          </cell>
          <cell r="B232" t="str">
            <v>JOILSON COUTINHO VIRGINIO</v>
          </cell>
          <cell r="C232" t="str">
            <v>EXTRAÇÃO</v>
          </cell>
          <cell r="D232" t="str">
            <v>AJ DE CARGA E DESCARGA DE MERCADORIA - EX</v>
          </cell>
          <cell r="E232" t="str">
            <v>FABRICA</v>
          </cell>
        </row>
        <row r="233">
          <cell r="A233">
            <v>4548</v>
          </cell>
          <cell r="B233" t="str">
            <v>JOILSON SANTOS FERNANDES</v>
          </cell>
          <cell r="C233" t="str">
            <v>ENTAMBORAMENTO</v>
          </cell>
          <cell r="D233" t="str">
            <v>AUX. PROD. EN</v>
          </cell>
          <cell r="E233" t="str">
            <v>FABRICA</v>
          </cell>
        </row>
        <row r="234">
          <cell r="A234">
            <v>4936</v>
          </cell>
          <cell r="B234" t="str">
            <v>JONATAN COSTA DE SOUZA</v>
          </cell>
          <cell r="C234" t="str">
            <v>VENDAS</v>
          </cell>
          <cell r="D234" t="str">
            <v>PROM. VENDAS II-C</v>
          </cell>
          <cell r="E234" t="str">
            <v>EXPEDIÇÃO</v>
          </cell>
        </row>
        <row r="235">
          <cell r="A235">
            <v>10026</v>
          </cell>
          <cell r="B235" t="str">
            <v>JONATAN CRISOSTOMO OLIVEIRA</v>
          </cell>
          <cell r="C235" t="str">
            <v>AUTONOMO</v>
          </cell>
          <cell r="D235" t="str">
            <v>AUTONOMO</v>
          </cell>
          <cell r="E235" t="str">
            <v>N/D</v>
          </cell>
        </row>
        <row r="236">
          <cell r="A236">
            <v>10009</v>
          </cell>
          <cell r="B236" t="str">
            <v>JORGE ALVES DOS SANTOS</v>
          </cell>
          <cell r="C236" t="str">
            <v>AUTONOMO</v>
          </cell>
          <cell r="D236" t="str">
            <v>AUTONOMO</v>
          </cell>
          <cell r="E236" t="str">
            <v>N/D</v>
          </cell>
        </row>
        <row r="237">
          <cell r="A237">
            <v>3163</v>
          </cell>
          <cell r="B237" t="str">
            <v>JORGE BARRETO DOS SANTOS</v>
          </cell>
          <cell r="C237" t="str">
            <v>MANUTENÇÃO</v>
          </cell>
          <cell r="D237" t="str">
            <v>ELETRICISTA II-B</v>
          </cell>
          <cell r="E237" t="str">
            <v>FABRICA</v>
          </cell>
        </row>
        <row r="238">
          <cell r="A238">
            <v>3878</v>
          </cell>
          <cell r="B238" t="str">
            <v>JORGE DA SILVA GAMA</v>
          </cell>
          <cell r="C238" t="str">
            <v>EXTRAÇÃO</v>
          </cell>
          <cell r="D238" t="str">
            <v>AJ DE CARGA E DESCARGA DE MERCADORIA - EX</v>
          </cell>
          <cell r="E238" t="str">
            <v>FABRICA</v>
          </cell>
        </row>
        <row r="239">
          <cell r="A239">
            <v>3160</v>
          </cell>
          <cell r="B239" t="str">
            <v>JORGE DE OLIVEIRA CARDEAL</v>
          </cell>
          <cell r="C239" t="str">
            <v>ESTOQUE</v>
          </cell>
          <cell r="D239" t="str">
            <v>ARMAZENISTA</v>
          </cell>
          <cell r="E239" t="str">
            <v>FABRICA</v>
          </cell>
        </row>
        <row r="240">
          <cell r="A240">
            <v>4566</v>
          </cell>
          <cell r="B240" t="str">
            <v>JOSE ANTONIO DA SILVA</v>
          </cell>
          <cell r="C240" t="str">
            <v>REFEITORIO</v>
          </cell>
          <cell r="D240" t="str">
            <v>COZINHEIRO LIDER</v>
          </cell>
          <cell r="E240" t="str">
            <v>EXPEDIÇÃO</v>
          </cell>
        </row>
        <row r="241">
          <cell r="A241">
            <v>3649</v>
          </cell>
          <cell r="B241" t="str">
            <v>JOSE ANTONIO SANTANA DE ASSIS</v>
          </cell>
          <cell r="C241" t="str">
            <v>EXTRAÇÃO</v>
          </cell>
          <cell r="D241" t="str">
            <v>AJ DE CARGA E DESCARGA DE MERCADORIA - EX</v>
          </cell>
          <cell r="E241" t="str">
            <v>FABRICA</v>
          </cell>
        </row>
        <row r="242">
          <cell r="A242">
            <v>4381</v>
          </cell>
          <cell r="B242" t="str">
            <v>JOSE CARLOS DIVINO DE ALMEIDA</v>
          </cell>
          <cell r="C242" t="str">
            <v>ENTAMBORAMENTO</v>
          </cell>
          <cell r="D242" t="str">
            <v>AUX. PROD. EN</v>
          </cell>
          <cell r="E242" t="str">
            <v>FABRICA</v>
          </cell>
        </row>
        <row r="243">
          <cell r="A243">
            <v>3448</v>
          </cell>
          <cell r="B243" t="str">
            <v>JOSE CARLOS PEREIRA DA CRUZ</v>
          </cell>
          <cell r="C243" t="str">
            <v>LIMPEZA</v>
          </cell>
          <cell r="D243" t="str">
            <v>AUX.  LIMPEZA</v>
          </cell>
          <cell r="E243" t="str">
            <v>FABRICA</v>
          </cell>
        </row>
        <row r="244">
          <cell r="A244">
            <v>4754</v>
          </cell>
          <cell r="B244" t="str">
            <v>JOSE CLEIDSON TEIXEIRA DA SILVA</v>
          </cell>
          <cell r="C244" t="str">
            <v>VENDAS</v>
          </cell>
          <cell r="D244" t="str">
            <v>PROM. VENDAS I-B</v>
          </cell>
          <cell r="E244" t="str">
            <v>EXPEDIÇÃO</v>
          </cell>
        </row>
        <row r="245">
          <cell r="A245">
            <v>1306</v>
          </cell>
          <cell r="B245" t="str">
            <v>JOSE DOS SANTOS ALVES</v>
          </cell>
          <cell r="C245" t="str">
            <v>ESTOQUE</v>
          </cell>
          <cell r="D245" t="str">
            <v>ARMAZENISTA</v>
          </cell>
          <cell r="E245" t="str">
            <v>FABRICA</v>
          </cell>
        </row>
        <row r="246">
          <cell r="A246">
            <v>4725</v>
          </cell>
          <cell r="B246" t="str">
            <v>JOSE DOS SANTOS JUNIOR</v>
          </cell>
          <cell r="C246" t="str">
            <v>EXPEDICAO</v>
          </cell>
          <cell r="D246" t="str">
            <v>EMPILHADOR  III-A</v>
          </cell>
          <cell r="E246" t="str">
            <v>EXPEDIÇÃO</v>
          </cell>
        </row>
        <row r="247">
          <cell r="A247">
            <v>3940</v>
          </cell>
          <cell r="B247" t="str">
            <v>JOSE EDUARDO SANTANA DE CARVALHO</v>
          </cell>
          <cell r="C247" t="str">
            <v>TRANSPORTE DE MERCADORIA</v>
          </cell>
          <cell r="D247" t="str">
            <v>MOTORISTA DA DIRETORIA</v>
          </cell>
          <cell r="E247" t="str">
            <v>EXPEDIÇÃO</v>
          </cell>
        </row>
        <row r="248">
          <cell r="A248">
            <v>4711</v>
          </cell>
          <cell r="B248" t="str">
            <v>JOSE IRLAN DIEGO ALVES DOS SANTOS</v>
          </cell>
          <cell r="C248" t="str">
            <v>PRODUCAO POLPA QUILO ASSISTENCIA</v>
          </cell>
          <cell r="D248" t="str">
            <v>AUX. PROD. QA</v>
          </cell>
          <cell r="E248" t="str">
            <v>FABRICA</v>
          </cell>
        </row>
        <row r="249">
          <cell r="A249">
            <v>4952</v>
          </cell>
          <cell r="B249" t="str">
            <v>JOSE MARCOS REIS DE JESUS</v>
          </cell>
          <cell r="C249" t="str">
            <v>ESCRITORIO</v>
          </cell>
          <cell r="D249" t="str">
            <v>APRENDIZ AUX. DE ESCRITORIO</v>
          </cell>
          <cell r="E249" t="str">
            <v>EXPEDIÇÃO</v>
          </cell>
        </row>
        <row r="250">
          <cell r="A250">
            <v>3084</v>
          </cell>
          <cell r="B250" t="str">
            <v>JOSE MILTON CARVALHO FERREIRA</v>
          </cell>
          <cell r="C250" t="str">
            <v>ESTOQUE</v>
          </cell>
          <cell r="D250" t="str">
            <v>ARMAZENISTA</v>
          </cell>
          <cell r="E250" t="str">
            <v>FABRICA</v>
          </cell>
        </row>
        <row r="251">
          <cell r="A251">
            <v>3252</v>
          </cell>
          <cell r="B251" t="str">
            <v>JOSE RAIMUNDO DE JESUS OLIVEIRA</v>
          </cell>
          <cell r="C251" t="str">
            <v>MANUTENÇÃO</v>
          </cell>
          <cell r="D251" t="str">
            <v>MECANICO I-C</v>
          </cell>
          <cell r="E251" t="str">
            <v>FABRICA</v>
          </cell>
        </row>
        <row r="252">
          <cell r="A252">
            <v>4767</v>
          </cell>
          <cell r="B252" t="str">
            <v>JOSE RAIMUNDO SIMOES DOS SANTOS</v>
          </cell>
          <cell r="C252" t="str">
            <v>MANUTENÇÃO</v>
          </cell>
          <cell r="D252" t="str">
            <v>PEDREIRO INDUSTRIAL</v>
          </cell>
          <cell r="E252" t="str">
            <v>FABRICA</v>
          </cell>
        </row>
        <row r="253">
          <cell r="A253">
            <v>4670</v>
          </cell>
          <cell r="B253" t="str">
            <v>JOSE RICARDO SANTOS PORTUGAL</v>
          </cell>
          <cell r="C253" t="str">
            <v>VENDAS</v>
          </cell>
          <cell r="D253" t="str">
            <v>VENDEDOR</v>
          </cell>
          <cell r="E253" t="str">
            <v>EXPEDIÇÃO</v>
          </cell>
        </row>
        <row r="254">
          <cell r="A254">
            <v>4899</v>
          </cell>
          <cell r="B254" t="str">
            <v>JOSE WENDELL SOUZA SANTOS</v>
          </cell>
          <cell r="C254" t="str">
            <v>FALMOXARIFADO</v>
          </cell>
          <cell r="D254" t="str">
            <v>APRENDIZ AUX. DE ESCRITORIO</v>
          </cell>
          <cell r="E254" t="str">
            <v>FABRICA</v>
          </cell>
        </row>
        <row r="255">
          <cell r="A255">
            <v>1636</v>
          </cell>
          <cell r="B255" t="str">
            <v>JOSELITO SOUZA DE OLIVEIRA</v>
          </cell>
          <cell r="C255" t="str">
            <v>EXTRAÇÃO</v>
          </cell>
          <cell r="D255" t="str">
            <v>OP. MAQUINA SENIOR</v>
          </cell>
          <cell r="E255" t="str">
            <v>FABRICA</v>
          </cell>
        </row>
        <row r="256">
          <cell r="A256">
            <v>4518</v>
          </cell>
          <cell r="B256" t="str">
            <v>JOSEMAR DE OLIVEIRA SANTOS</v>
          </cell>
          <cell r="C256" t="str">
            <v>EXPEDICAO</v>
          </cell>
          <cell r="D256" t="str">
            <v>EMPILHADOR  III-A</v>
          </cell>
          <cell r="E256" t="str">
            <v>EXPEDIÇÃO</v>
          </cell>
        </row>
        <row r="257">
          <cell r="A257">
            <v>4015</v>
          </cell>
          <cell r="B257" t="str">
            <v>JOSENILDA SANTOS CARVALHO BRANDAO</v>
          </cell>
          <cell r="C257" t="str">
            <v>PRODUCAO DE NECTAR</v>
          </cell>
          <cell r="D257" t="str">
            <v>AUX. PROD. PN</v>
          </cell>
          <cell r="E257" t="str">
            <v>FABRICA</v>
          </cell>
        </row>
        <row r="258">
          <cell r="A258">
            <v>10034</v>
          </cell>
          <cell r="B258" t="str">
            <v>JOSENILSON SANTOS DE JESUS</v>
          </cell>
          <cell r="C258" t="str">
            <v>AUTONOMO</v>
          </cell>
          <cell r="D258" t="str">
            <v>AUTONOMO</v>
          </cell>
          <cell r="E258" t="str">
            <v>N/D</v>
          </cell>
        </row>
        <row r="259">
          <cell r="A259">
            <v>4046</v>
          </cell>
          <cell r="B259" t="str">
            <v>JOSENILZA DO ROSARIO RIBEIRO</v>
          </cell>
          <cell r="C259" t="str">
            <v>LAVAGEM E SELEÇÃO</v>
          </cell>
          <cell r="D259" t="str">
            <v>AUX. PROD. LS</v>
          </cell>
          <cell r="E259" t="str">
            <v>FABRICA</v>
          </cell>
        </row>
        <row r="260">
          <cell r="A260">
            <v>4319</v>
          </cell>
          <cell r="B260" t="str">
            <v>JOSEVAL DOS SANTOS</v>
          </cell>
          <cell r="C260" t="str">
            <v>EXTRAÇÃO</v>
          </cell>
          <cell r="D260" t="str">
            <v>AJ DE CARGA E DESCARGA DE MERCADORIA - EX</v>
          </cell>
          <cell r="E260" t="str">
            <v>FABRICA</v>
          </cell>
        </row>
        <row r="261">
          <cell r="A261">
            <v>3964</v>
          </cell>
          <cell r="B261" t="str">
            <v>JOSEVALDO DE ALMEIDA SANTOS</v>
          </cell>
          <cell r="C261" t="str">
            <v>MANUTENÇÃO</v>
          </cell>
          <cell r="D261" t="str">
            <v>SOLDADOR  III-C</v>
          </cell>
          <cell r="E261" t="str">
            <v>FABRICA</v>
          </cell>
        </row>
        <row r="262">
          <cell r="A262">
            <v>1286</v>
          </cell>
          <cell r="B262" t="str">
            <v>JOSEVALDO DIAS DO CARMO</v>
          </cell>
          <cell r="C262" t="str">
            <v>PORTARIA</v>
          </cell>
          <cell r="D262" t="str">
            <v>PORTEIRO</v>
          </cell>
          <cell r="E262" t="str">
            <v>EXPEDIÇÃO</v>
          </cell>
        </row>
        <row r="263">
          <cell r="A263">
            <v>4738</v>
          </cell>
          <cell r="B263" t="str">
            <v>JOSIVAN BARRETO MARTINS</v>
          </cell>
          <cell r="C263" t="str">
            <v>REFEITORIO</v>
          </cell>
          <cell r="D263" t="str">
            <v>AUX.  LIMPEZA</v>
          </cell>
          <cell r="E263" t="str">
            <v>EXPEDIÇÃO</v>
          </cell>
        </row>
        <row r="264">
          <cell r="A264">
            <v>4513</v>
          </cell>
          <cell r="B264" t="str">
            <v>JOSUE CERQUEIRA DOS SANTOS</v>
          </cell>
          <cell r="C264" t="str">
            <v>UTILIDADES</v>
          </cell>
          <cell r="D264" t="str">
            <v>OP. UTILIDADES</v>
          </cell>
          <cell r="E264" t="str">
            <v>FABRICA</v>
          </cell>
        </row>
        <row r="265">
          <cell r="A265">
            <v>3866</v>
          </cell>
          <cell r="B265" t="str">
            <v>JOZIVALDO RODRIGUES DOS SANTOS</v>
          </cell>
          <cell r="C265" t="str">
            <v>VENDAS SSA</v>
          </cell>
          <cell r="D265" t="str">
            <v>VENDEDOR</v>
          </cell>
          <cell r="E265" t="str">
            <v>EXPEDIÇÃO</v>
          </cell>
        </row>
        <row r="266">
          <cell r="A266">
            <v>3792</v>
          </cell>
          <cell r="B266" t="str">
            <v>JUCELINO PEREIRA LOPES</v>
          </cell>
          <cell r="C266" t="str">
            <v>UTILIDADES</v>
          </cell>
          <cell r="D266" t="str">
            <v>OP. UTILIDADES</v>
          </cell>
          <cell r="E266" t="str">
            <v>FABRICA</v>
          </cell>
        </row>
        <row r="267">
          <cell r="A267">
            <v>3473</v>
          </cell>
          <cell r="B267" t="str">
            <v>JUCI DE JESUS COSTA RIBEIRO</v>
          </cell>
          <cell r="C267" t="str">
            <v>PRODUCAO DE POLPA</v>
          </cell>
          <cell r="D267" t="str">
            <v>OP. MAQUINA PLENO</v>
          </cell>
          <cell r="E267" t="str">
            <v>FABRICA</v>
          </cell>
        </row>
        <row r="268">
          <cell r="A268">
            <v>3550</v>
          </cell>
          <cell r="B268" t="str">
            <v>JUCIENE DO AMARAL SANTOS</v>
          </cell>
          <cell r="C268" t="str">
            <v>LABORATORIO</v>
          </cell>
          <cell r="D268" t="str">
            <v>LABORATORISTA</v>
          </cell>
          <cell r="E268" t="str">
            <v>FABRICA</v>
          </cell>
        </row>
        <row r="269">
          <cell r="A269">
            <v>3525</v>
          </cell>
          <cell r="B269" t="str">
            <v>JUCILENE DOS SANTOS</v>
          </cell>
          <cell r="C269" t="str">
            <v>LAVAGEM E SELEÇÃO</v>
          </cell>
          <cell r="D269" t="str">
            <v>AUX. PROD. LS</v>
          </cell>
          <cell r="E269" t="str">
            <v>FABRICA</v>
          </cell>
        </row>
        <row r="270">
          <cell r="A270">
            <v>3527</v>
          </cell>
          <cell r="B270" t="str">
            <v>JULIANA ARAUJO DOS SANTOS CERQUEIRA</v>
          </cell>
          <cell r="C270" t="str">
            <v>PRODUCAO DE BEBIDA MISTA</v>
          </cell>
          <cell r="D270" t="str">
            <v>AUX. PROD. BM</v>
          </cell>
          <cell r="E270" t="str">
            <v>FABRICA</v>
          </cell>
        </row>
        <row r="271">
          <cell r="A271">
            <v>4084</v>
          </cell>
          <cell r="B271" t="str">
            <v>JULIO RODRIGUES DA SILVA</v>
          </cell>
          <cell r="C271" t="str">
            <v>EXTRAÇÃO</v>
          </cell>
          <cell r="D271" t="str">
            <v>LIDER DE PRODUCAO JUNIOR</v>
          </cell>
          <cell r="E271" t="str">
            <v>FABRICA</v>
          </cell>
        </row>
        <row r="272">
          <cell r="A272">
            <v>4736</v>
          </cell>
          <cell r="B272" t="str">
            <v>JURANDI ALVES PEREIRA</v>
          </cell>
          <cell r="C272" t="str">
            <v>EXTRAÇÃO</v>
          </cell>
          <cell r="D272" t="str">
            <v>AJ DE CARGA E DESCARGA DE MERCADORIA - EX</v>
          </cell>
          <cell r="E272" t="str">
            <v>FABRICA</v>
          </cell>
        </row>
        <row r="273">
          <cell r="A273">
            <v>4924</v>
          </cell>
          <cell r="B273" t="str">
            <v>JURGLEIDE BASTOS SIQUEIRA</v>
          </cell>
          <cell r="C273" t="str">
            <v>VENDAS</v>
          </cell>
          <cell r="D273" t="str">
            <v>PROM. VENDAS II-C</v>
          </cell>
          <cell r="E273" t="str">
            <v>EXPEDIÇÃO</v>
          </cell>
        </row>
        <row r="274">
          <cell r="A274">
            <v>266</v>
          </cell>
          <cell r="B274" t="str">
            <v>JUSCELINO GONZAGA SANTANA</v>
          </cell>
          <cell r="C274" t="str">
            <v>PRODUCAO DE POLPA</v>
          </cell>
          <cell r="D274" t="str">
            <v>LIDER DE PRODUCAO</v>
          </cell>
          <cell r="E274" t="str">
            <v>FABRICA</v>
          </cell>
        </row>
        <row r="275">
          <cell r="A275">
            <v>4592</v>
          </cell>
          <cell r="B275" t="str">
            <v>KARINA DE JESUS SANTOS</v>
          </cell>
          <cell r="C275" t="str">
            <v>CORTE DE FRUTAS</v>
          </cell>
          <cell r="D275" t="str">
            <v>AUX. PROD. CF</v>
          </cell>
          <cell r="E275" t="str">
            <v>FABRICA</v>
          </cell>
        </row>
        <row r="276">
          <cell r="A276">
            <v>3974</v>
          </cell>
          <cell r="B276" t="str">
            <v>KARINE OLIVEIRA DOS SANTOS LOBO</v>
          </cell>
          <cell r="C276" t="str">
            <v>ESCRITORIO</v>
          </cell>
          <cell r="D276" t="str">
            <v>TELEFONISTA</v>
          </cell>
          <cell r="E276" t="str">
            <v>EXPEDIÇÃO</v>
          </cell>
        </row>
        <row r="277">
          <cell r="A277">
            <v>3758</v>
          </cell>
          <cell r="B277" t="str">
            <v>KEILA FERREIRA SANTANA VIEIRA</v>
          </cell>
          <cell r="C277" t="str">
            <v>LABORATORIO</v>
          </cell>
          <cell r="D277" t="str">
            <v>ANALISTA DE QUALIDADE</v>
          </cell>
          <cell r="E277" t="str">
            <v>FABRICA</v>
          </cell>
        </row>
        <row r="278">
          <cell r="A278">
            <v>4618</v>
          </cell>
          <cell r="B278" t="str">
            <v>LAERCIO RIBEIRO</v>
          </cell>
          <cell r="C278" t="str">
            <v>EXTRAÇÃO</v>
          </cell>
          <cell r="D278" t="str">
            <v>AJ DE CARGA E DESCARGA DE MERCADORIA - EX</v>
          </cell>
          <cell r="E278" t="str">
            <v>FABRICA</v>
          </cell>
        </row>
        <row r="279">
          <cell r="A279">
            <v>4914</v>
          </cell>
          <cell r="B279" t="str">
            <v>LAIZE EVELLEN DA SILVA COUTO</v>
          </cell>
          <cell r="C279" t="str">
            <v>ESCRITORIO</v>
          </cell>
          <cell r="D279" t="str">
            <v>ASSISTENTE DE CONTAS A PAGAR</v>
          </cell>
          <cell r="E279" t="str">
            <v>EXPEDIÇÃO</v>
          </cell>
        </row>
        <row r="280">
          <cell r="A280">
            <v>4903</v>
          </cell>
          <cell r="B280" t="str">
            <v>LARISSA DE CARVALHO SILVA</v>
          </cell>
          <cell r="C280" t="str">
            <v>ESCRITORIO</v>
          </cell>
          <cell r="D280" t="str">
            <v>APRENDIZ AUX. DE ESCRITORIO</v>
          </cell>
          <cell r="E280" t="str">
            <v>EXPEDIÇÃO</v>
          </cell>
        </row>
        <row r="281">
          <cell r="A281">
            <v>3966</v>
          </cell>
          <cell r="B281" t="str">
            <v>LEANDRO DE ALMEIDA DOS SANTOS</v>
          </cell>
          <cell r="C281" t="str">
            <v>MANUTENÇÃO</v>
          </cell>
          <cell r="D281" t="str">
            <v>PINTOR INDUSTRIAL</v>
          </cell>
          <cell r="E281" t="str">
            <v>FABRICA</v>
          </cell>
        </row>
        <row r="282">
          <cell r="A282">
            <v>4593</v>
          </cell>
          <cell r="B282" t="str">
            <v>LEIDIANE DE SOUSA SANTOS</v>
          </cell>
          <cell r="C282" t="str">
            <v>PRODUCAO DE NECTAR</v>
          </cell>
          <cell r="D282" t="str">
            <v>AUX. PROD. PN</v>
          </cell>
          <cell r="E282" t="str">
            <v>FABRICA</v>
          </cell>
        </row>
        <row r="283">
          <cell r="A283">
            <v>4944</v>
          </cell>
          <cell r="B283" t="str">
            <v>LENINE MATEUS BATISTA MARTINS</v>
          </cell>
          <cell r="C283" t="str">
            <v>FILIAL - TRANSPORTE DE MERCADORIA SSA</v>
          </cell>
          <cell r="D283" t="str">
            <v>AJ. DE TRANSPORTE I-C</v>
          </cell>
          <cell r="E283" t="str">
            <v>EXPEDIÇÃO</v>
          </cell>
        </row>
        <row r="284">
          <cell r="A284">
            <v>4490</v>
          </cell>
          <cell r="B284" t="str">
            <v>LEONAN LOBO OLIVEIRA</v>
          </cell>
          <cell r="C284" t="str">
            <v>PRODUCAO POLPA ASSISTENCIA</v>
          </cell>
          <cell r="D284" t="str">
            <v>AUX. PROD. PA</v>
          </cell>
          <cell r="E284" t="str">
            <v>FABRICA</v>
          </cell>
        </row>
        <row r="285">
          <cell r="A285">
            <v>3486</v>
          </cell>
          <cell r="B285" t="str">
            <v>LEONARDO FALCONERY SERAFIM</v>
          </cell>
          <cell r="C285" t="str">
            <v>VENDAS</v>
          </cell>
          <cell r="D285" t="str">
            <v>VENDEDOR</v>
          </cell>
          <cell r="E285" t="str">
            <v>EXPEDIÇÃO</v>
          </cell>
        </row>
        <row r="286">
          <cell r="A286">
            <v>99008</v>
          </cell>
          <cell r="B286" t="str">
            <v>LEONARDO JOEL SANTOS</v>
          </cell>
          <cell r="C286" t="str">
            <v>FILIAL - ESCRITORIO SSA</v>
          </cell>
          <cell r="D286" t="str">
            <v>ASSISTENTE DE EXPEDICAO SENIOR</v>
          </cell>
          <cell r="E286" t="str">
            <v>EXPEDIÇÃO</v>
          </cell>
        </row>
        <row r="287">
          <cell r="A287">
            <v>4218</v>
          </cell>
          <cell r="B287" t="str">
            <v>LEONILSON DOS SANTOS BENTO</v>
          </cell>
          <cell r="C287" t="str">
            <v>ENTAMBORAMENTO</v>
          </cell>
          <cell r="D287" t="str">
            <v>OP. MAQUINA JR</v>
          </cell>
          <cell r="E287" t="str">
            <v>FABRICA</v>
          </cell>
        </row>
        <row r="288">
          <cell r="A288">
            <v>4558</v>
          </cell>
          <cell r="B288" t="str">
            <v>LILIA OLIVEIRA DOS SANTOS</v>
          </cell>
          <cell r="C288" t="str">
            <v>TRANSPORTE DE MERCADORIA</v>
          </cell>
          <cell r="D288" t="str">
            <v>ASSISTENTE DE LOGISTICA</v>
          </cell>
          <cell r="E288" t="str">
            <v>EXPEDIÇÃO</v>
          </cell>
        </row>
        <row r="289">
          <cell r="A289">
            <v>4039</v>
          </cell>
          <cell r="B289" t="str">
            <v>LILIA PORTO DOS SANTOS</v>
          </cell>
          <cell r="C289" t="str">
            <v>CORTE DE FRUTAS</v>
          </cell>
          <cell r="D289" t="str">
            <v>AUX. PROD. CF</v>
          </cell>
          <cell r="E289" t="str">
            <v>FABRICA</v>
          </cell>
        </row>
        <row r="290">
          <cell r="A290">
            <v>3443</v>
          </cell>
          <cell r="B290" t="str">
            <v>LOURISVALDO CARVALHO FERREIRA</v>
          </cell>
          <cell r="C290" t="str">
            <v>EXPEDICAO</v>
          </cell>
          <cell r="D290" t="str">
            <v>AUX. EXPEDICAO</v>
          </cell>
          <cell r="E290" t="str">
            <v>EXPEDIÇÃO</v>
          </cell>
        </row>
        <row r="291">
          <cell r="A291">
            <v>4512</v>
          </cell>
          <cell r="B291" t="str">
            <v>LOZANGELA DE JESUS LIMA</v>
          </cell>
          <cell r="C291" t="str">
            <v>REFEITORIO</v>
          </cell>
          <cell r="D291" t="str">
            <v>COZINHEIRA III-A</v>
          </cell>
          <cell r="E291" t="str">
            <v>EXPEDIÇÃO</v>
          </cell>
        </row>
        <row r="292">
          <cell r="A292">
            <v>4555</v>
          </cell>
          <cell r="B292" t="str">
            <v>LUCAS ANDRADE DOS SANTOS</v>
          </cell>
          <cell r="C292" t="str">
            <v>PRODUCAO DE BEBIDA MISTA</v>
          </cell>
          <cell r="D292" t="str">
            <v>OP. MAQUINA JR</v>
          </cell>
          <cell r="E292" t="str">
            <v>FABRICA</v>
          </cell>
        </row>
        <row r="293">
          <cell r="A293">
            <v>10032</v>
          </cell>
          <cell r="B293" t="str">
            <v>LUCAS GOMES BARBOSA</v>
          </cell>
          <cell r="C293" t="str">
            <v>AUTONOMO</v>
          </cell>
          <cell r="D293" t="str">
            <v>AUTONOMO</v>
          </cell>
          <cell r="E293" t="str">
            <v>N/D</v>
          </cell>
        </row>
        <row r="294">
          <cell r="A294">
            <v>4642</v>
          </cell>
          <cell r="B294" t="str">
            <v>LUCAS VINICIUS DE JESUS MOREIRA</v>
          </cell>
          <cell r="C294" t="str">
            <v>ESCRITORIO</v>
          </cell>
          <cell r="D294" t="str">
            <v>TECNICO DE TI</v>
          </cell>
          <cell r="E294" t="str">
            <v>EXPEDIÇÃO</v>
          </cell>
        </row>
        <row r="295">
          <cell r="A295">
            <v>4461</v>
          </cell>
          <cell r="B295" t="str">
            <v>LUCIANA SOUZA SANTOS</v>
          </cell>
          <cell r="C295" t="str">
            <v>PRODUCAO DE POLPA</v>
          </cell>
          <cell r="D295" t="str">
            <v>AUX. PROD. PP</v>
          </cell>
          <cell r="E295" t="str">
            <v>FABRICA</v>
          </cell>
        </row>
        <row r="296">
          <cell r="A296">
            <v>10022</v>
          </cell>
          <cell r="B296" t="str">
            <v>LUCIANO CARNEIRO DA SILVA</v>
          </cell>
          <cell r="C296" t="str">
            <v>AUTONOMO</v>
          </cell>
          <cell r="D296" t="str">
            <v>AUTONOMO</v>
          </cell>
          <cell r="E296" t="str">
            <v>N/D</v>
          </cell>
        </row>
        <row r="297">
          <cell r="A297">
            <v>4525</v>
          </cell>
          <cell r="B297" t="str">
            <v>LUCIANO DIAS DO CARMO</v>
          </cell>
          <cell r="C297" t="str">
            <v>TRANSPORTE DE MERCADORIA SSA</v>
          </cell>
          <cell r="D297" t="str">
            <v>MOTORISTA   III-B</v>
          </cell>
          <cell r="E297" t="str">
            <v>EXPEDIÇÃO</v>
          </cell>
        </row>
        <row r="298">
          <cell r="A298">
            <v>10024</v>
          </cell>
          <cell r="B298" t="str">
            <v>LUCIANO FREITAS SANTOS</v>
          </cell>
          <cell r="C298" t="str">
            <v>AUTONOMO</v>
          </cell>
          <cell r="D298" t="str">
            <v>AUTONOMO</v>
          </cell>
          <cell r="E298" t="str">
            <v>N/D</v>
          </cell>
        </row>
        <row r="299">
          <cell r="A299">
            <v>10033</v>
          </cell>
          <cell r="B299" t="str">
            <v>LUCIANO SANTOS DA CRUZ</v>
          </cell>
          <cell r="C299" t="str">
            <v>AUTONOMO</v>
          </cell>
          <cell r="D299" t="str">
            <v>AUTONOMO</v>
          </cell>
          <cell r="E299" t="str">
            <v>N/D</v>
          </cell>
        </row>
        <row r="300">
          <cell r="A300">
            <v>4724</v>
          </cell>
          <cell r="B300" t="str">
            <v>LUCIANO SOUZA ALVES BEZERRA</v>
          </cell>
          <cell r="C300" t="str">
            <v>EXPEDICAO</v>
          </cell>
          <cell r="D300" t="str">
            <v>EMPILHADOR  III-A</v>
          </cell>
          <cell r="E300" t="str">
            <v>EXPEDIÇÃO</v>
          </cell>
        </row>
        <row r="301">
          <cell r="A301">
            <v>4634</v>
          </cell>
          <cell r="B301" t="str">
            <v>LUCIANO VILAS BOAS SANTANA</v>
          </cell>
          <cell r="C301" t="str">
            <v>PRODUCAO POLPA ASSISTENCIA</v>
          </cell>
          <cell r="D301" t="str">
            <v>AUX. PROD. PA</v>
          </cell>
          <cell r="E301" t="str">
            <v>FABRICA</v>
          </cell>
        </row>
        <row r="302">
          <cell r="A302">
            <v>3530</v>
          </cell>
          <cell r="B302" t="str">
            <v>LUCIENE CORREIA SANTOS</v>
          </cell>
          <cell r="C302" t="str">
            <v>CORTE DE FRUTAS</v>
          </cell>
          <cell r="D302" t="str">
            <v>AUX. PROD. CF</v>
          </cell>
          <cell r="E302" t="str">
            <v>FABRICA</v>
          </cell>
        </row>
        <row r="303">
          <cell r="A303">
            <v>2843</v>
          </cell>
          <cell r="B303" t="str">
            <v>LUCINEIDE DE JESUS FERREIRA</v>
          </cell>
          <cell r="C303" t="str">
            <v>ADM INDUSTRIAL</v>
          </cell>
          <cell r="D303" t="str">
            <v>ASSISTENTE DE PLAN E CONT DA PRODUCAO</v>
          </cell>
          <cell r="E303" t="str">
            <v>FABRICA</v>
          </cell>
        </row>
        <row r="304">
          <cell r="A304">
            <v>4506</v>
          </cell>
          <cell r="B304" t="str">
            <v>LUCIO CARLOS DOS SANTOS NASCIMENTO</v>
          </cell>
          <cell r="C304" t="str">
            <v>TRANSPORTE DE MERCADORIA</v>
          </cell>
          <cell r="D304" t="str">
            <v>MOTORISTA   III-B</v>
          </cell>
          <cell r="E304" t="str">
            <v>EXPEDIÇÃO</v>
          </cell>
        </row>
        <row r="305">
          <cell r="A305">
            <v>4423</v>
          </cell>
          <cell r="B305" t="str">
            <v>LUCITANIA DA CRUZ CERQUEIRA SANTOS</v>
          </cell>
          <cell r="C305" t="str">
            <v>REFEITORIO</v>
          </cell>
          <cell r="D305" t="str">
            <v>AUX. COZINHA I-C</v>
          </cell>
          <cell r="E305" t="str">
            <v>EXPEDIÇÃO</v>
          </cell>
        </row>
        <row r="306">
          <cell r="A306">
            <v>3648</v>
          </cell>
          <cell r="B306" t="str">
            <v>LUCIVALDO DOS SANTOS LIMA</v>
          </cell>
          <cell r="C306" t="str">
            <v>REFEITORIO</v>
          </cell>
          <cell r="D306" t="str">
            <v>AUX. COZINHA I-C</v>
          </cell>
          <cell r="E306" t="str">
            <v>EXPEDIÇÃO</v>
          </cell>
        </row>
        <row r="307">
          <cell r="A307">
            <v>1353</v>
          </cell>
          <cell r="B307" t="str">
            <v>LUIS ANTONIO DE OLIVEIRA SANTOS</v>
          </cell>
          <cell r="C307" t="str">
            <v>EXPEDICAO</v>
          </cell>
          <cell r="D307" t="str">
            <v>CONFERENTE</v>
          </cell>
          <cell r="E307" t="str">
            <v>EXPEDIÇÃO</v>
          </cell>
        </row>
        <row r="308">
          <cell r="A308">
            <v>3703</v>
          </cell>
          <cell r="B308" t="str">
            <v>LUIS SANTOS GONCALVES</v>
          </cell>
          <cell r="C308" t="str">
            <v>OFICINA DE TAMBOR</v>
          </cell>
          <cell r="D308" t="str">
            <v>PINTOR DE MANUTENCAO</v>
          </cell>
          <cell r="E308" t="str">
            <v>FABRICA</v>
          </cell>
        </row>
        <row r="309">
          <cell r="A309">
            <v>4403</v>
          </cell>
          <cell r="B309" t="str">
            <v>LUIS SILVA DE JESUS</v>
          </cell>
          <cell r="C309" t="str">
            <v>EXPEDICAO</v>
          </cell>
          <cell r="D309" t="str">
            <v>AJ DE CARGA E DESCARGA DE MERCADORIA</v>
          </cell>
          <cell r="E309" t="str">
            <v>EXPEDIÇÃO</v>
          </cell>
        </row>
        <row r="310">
          <cell r="A310">
            <v>10029</v>
          </cell>
          <cell r="B310" t="str">
            <v>LUIZ ADRIANO DA PAIXAO DE JESUS</v>
          </cell>
          <cell r="C310" t="str">
            <v>AUTONOMO</v>
          </cell>
          <cell r="D310" t="str">
            <v>AUTONOMO</v>
          </cell>
          <cell r="E310" t="str">
            <v>N/D</v>
          </cell>
        </row>
        <row r="311">
          <cell r="A311">
            <v>10013</v>
          </cell>
          <cell r="B311" t="str">
            <v>LUIZ CARLOS DA SILVA</v>
          </cell>
          <cell r="C311" t="str">
            <v>AUTONOMO</v>
          </cell>
          <cell r="D311" t="str">
            <v>AUTONOMO</v>
          </cell>
          <cell r="E311" t="str">
            <v>N/D</v>
          </cell>
        </row>
        <row r="312">
          <cell r="A312">
            <v>4661</v>
          </cell>
          <cell r="B312" t="str">
            <v>LUIZ CARLOS SILVA SANTOS</v>
          </cell>
          <cell r="C312" t="str">
            <v>XAROPARIA</v>
          </cell>
          <cell r="D312" t="str">
            <v>AUX. PROD. XA</v>
          </cell>
          <cell r="E312" t="str">
            <v>FABRICA</v>
          </cell>
        </row>
        <row r="313">
          <cell r="A313">
            <v>4570</v>
          </cell>
          <cell r="B313" t="str">
            <v>LUIZ FONSECA CARNEIRO</v>
          </cell>
          <cell r="C313" t="str">
            <v>PRODUCAO POLPA ASSISTENCIA</v>
          </cell>
          <cell r="D313" t="str">
            <v>AUX. PROD. PA</v>
          </cell>
          <cell r="E313" t="str">
            <v>FABRICA</v>
          </cell>
        </row>
        <row r="314">
          <cell r="A314">
            <v>1021</v>
          </cell>
          <cell r="B314" t="str">
            <v>LUZIA MESSIAS RIBEIRO PIMENTA</v>
          </cell>
          <cell r="C314" t="str">
            <v>LABORATORIO</v>
          </cell>
          <cell r="D314" t="str">
            <v>LABORATORISTA INDUSTRIAL</v>
          </cell>
          <cell r="E314" t="str">
            <v>FABRICA</v>
          </cell>
        </row>
        <row r="315">
          <cell r="A315">
            <v>695</v>
          </cell>
          <cell r="B315" t="str">
            <v>LUZINALVA ARAUJO DOS SANTOS</v>
          </cell>
          <cell r="C315" t="str">
            <v>PRODUCAO DE POLPA</v>
          </cell>
          <cell r="D315" t="str">
            <v>OP. MAQUINA PLENO</v>
          </cell>
          <cell r="E315" t="str">
            <v>FABRICA</v>
          </cell>
        </row>
        <row r="316">
          <cell r="A316">
            <v>4906</v>
          </cell>
          <cell r="B316" t="str">
            <v>MANOEL CERQUEIRA DOS SANTOS</v>
          </cell>
          <cell r="C316" t="str">
            <v>VENDAS SSA</v>
          </cell>
          <cell r="D316" t="str">
            <v>PROM. VENDAS II-C</v>
          </cell>
          <cell r="E316" t="str">
            <v>EXPEDIÇÃO</v>
          </cell>
        </row>
        <row r="317">
          <cell r="A317">
            <v>4108</v>
          </cell>
          <cell r="B317" t="str">
            <v>MANOEL DE JESUS</v>
          </cell>
          <cell r="C317" t="str">
            <v>LIMPEZA</v>
          </cell>
          <cell r="D317" t="str">
            <v>OP. ESTACAO DE AGUA E EFLUENTES JR</v>
          </cell>
          <cell r="E317" t="str">
            <v>FABRICA</v>
          </cell>
        </row>
        <row r="318">
          <cell r="A318">
            <v>4633</v>
          </cell>
          <cell r="B318" t="str">
            <v>MANOEL PEREIRA DOS SANTOS</v>
          </cell>
          <cell r="C318" t="str">
            <v>MANUTENÇÃO</v>
          </cell>
          <cell r="D318" t="str">
            <v>PINTOR INDUSTRIAL</v>
          </cell>
          <cell r="E318" t="str">
            <v>FABRICA</v>
          </cell>
        </row>
        <row r="319">
          <cell r="A319">
            <v>3942</v>
          </cell>
          <cell r="B319" t="str">
            <v>MARCELO ALMEIDA SILVA</v>
          </cell>
          <cell r="C319" t="str">
            <v>UTILIDADES</v>
          </cell>
          <cell r="D319" t="str">
            <v>OP. UTILIDADES</v>
          </cell>
          <cell r="E319" t="str">
            <v>FABRICA</v>
          </cell>
        </row>
        <row r="320">
          <cell r="A320">
            <v>10008</v>
          </cell>
          <cell r="B320" t="str">
            <v>MARCELO BORGES DE LIMA</v>
          </cell>
          <cell r="C320" t="str">
            <v>AUTONOMO</v>
          </cell>
          <cell r="D320" t="str">
            <v>AUTONOMO</v>
          </cell>
          <cell r="E320" t="str">
            <v>N/D</v>
          </cell>
        </row>
        <row r="321">
          <cell r="A321">
            <v>3058</v>
          </cell>
          <cell r="B321" t="str">
            <v>MARCELO DE JESUS</v>
          </cell>
          <cell r="C321" t="str">
            <v>EXTRAÇÃO</v>
          </cell>
          <cell r="D321" t="str">
            <v>AJ DE CARGA E DESCARGA DE MERCADORIA - EX</v>
          </cell>
          <cell r="E321" t="str">
            <v>FABRICA</v>
          </cell>
        </row>
        <row r="322">
          <cell r="A322">
            <v>4758</v>
          </cell>
          <cell r="B322" t="str">
            <v>MARCELO VINICIUS CAMPOS CARNEIRO</v>
          </cell>
          <cell r="C322" t="str">
            <v>PRODUCAO DE POLPA</v>
          </cell>
          <cell r="D322" t="str">
            <v>LIDER DE EQUIPE DE PRODUCAO</v>
          </cell>
          <cell r="E322" t="str">
            <v>FABRICA</v>
          </cell>
        </row>
        <row r="323">
          <cell r="A323">
            <v>4715</v>
          </cell>
          <cell r="B323" t="str">
            <v>MARCIA CLEDINA FERNANDES DE PAIVA</v>
          </cell>
          <cell r="C323" t="str">
            <v>VENDAS</v>
          </cell>
          <cell r="D323" t="str">
            <v>PROM. VENDAS I-B</v>
          </cell>
          <cell r="E323" t="str">
            <v>EXPEDIÇÃO</v>
          </cell>
        </row>
        <row r="324">
          <cell r="A324">
            <v>2848</v>
          </cell>
          <cell r="B324" t="str">
            <v>MARCIENE DE JESUS SANTOS</v>
          </cell>
          <cell r="C324" t="str">
            <v>PRODUCAO DE POLPA</v>
          </cell>
          <cell r="D324" t="str">
            <v>OP. MAQUINA JR</v>
          </cell>
          <cell r="E324" t="str">
            <v>FABRICA</v>
          </cell>
        </row>
        <row r="325">
          <cell r="A325">
            <v>10007</v>
          </cell>
          <cell r="B325" t="str">
            <v>MARCIO GOMES DOS SANTOS</v>
          </cell>
          <cell r="C325" t="str">
            <v>AUTONOMO</v>
          </cell>
          <cell r="D325" t="str">
            <v>AUTONOMO</v>
          </cell>
          <cell r="E325" t="str">
            <v>N/D</v>
          </cell>
        </row>
        <row r="326">
          <cell r="A326">
            <v>4669</v>
          </cell>
          <cell r="B326" t="str">
            <v>MARCIO JESUS DA SILVA</v>
          </cell>
          <cell r="C326" t="str">
            <v>PRODUCAO POLPA QUILO ASSISTENCIA</v>
          </cell>
          <cell r="D326" t="str">
            <v>AUX. PROD. QA</v>
          </cell>
          <cell r="E326" t="str">
            <v>FABRICA</v>
          </cell>
        </row>
        <row r="327">
          <cell r="A327">
            <v>4790</v>
          </cell>
          <cell r="B327" t="str">
            <v>MARCIO MACHADO TORRES</v>
          </cell>
          <cell r="C327" t="str">
            <v>ESCRITORIO</v>
          </cell>
          <cell r="D327" t="str">
            <v>CONTINUO</v>
          </cell>
          <cell r="E327" t="str">
            <v>EXPEDIÇÃO</v>
          </cell>
        </row>
        <row r="328">
          <cell r="A328">
            <v>4668</v>
          </cell>
          <cell r="B328" t="str">
            <v>MARCIO ROSA DA SILVA</v>
          </cell>
          <cell r="C328" t="str">
            <v>EXPEDICAO</v>
          </cell>
          <cell r="D328" t="str">
            <v>AJ DE CARGA E DESCARGA DE MERCADORIA</v>
          </cell>
          <cell r="E328" t="str">
            <v>EXPEDIÇÃO</v>
          </cell>
        </row>
        <row r="329">
          <cell r="A329">
            <v>4712</v>
          </cell>
          <cell r="B329" t="str">
            <v>MARCOS ANTONIO AMARAL DOS REIS</v>
          </cell>
          <cell r="C329" t="str">
            <v>EXTRAÇÃO</v>
          </cell>
          <cell r="D329" t="str">
            <v>AJ DE CARGA E DESCARGA DE MERCADORIA - EX</v>
          </cell>
          <cell r="E329" t="str">
            <v>FABRICA</v>
          </cell>
        </row>
        <row r="330">
          <cell r="A330">
            <v>4733</v>
          </cell>
          <cell r="B330" t="str">
            <v>MARCOS ANTONIO DA CRUZ OLIVEIRA</v>
          </cell>
          <cell r="C330" t="str">
            <v>PRODUCAO DE NECTAR</v>
          </cell>
          <cell r="D330" t="str">
            <v>AUX. PROD. PN</v>
          </cell>
          <cell r="E330" t="str">
            <v>FABRICA</v>
          </cell>
        </row>
        <row r="331">
          <cell r="A331">
            <v>3042</v>
          </cell>
          <cell r="B331" t="str">
            <v>MARCOS BARBOSA MARQUES</v>
          </cell>
          <cell r="C331" t="str">
            <v>ESCRITORIO</v>
          </cell>
          <cell r="D331" t="str">
            <v>GERENTE GERAL</v>
          </cell>
          <cell r="E331" t="str">
            <v>EXPEDIÇÃO</v>
          </cell>
        </row>
        <row r="332">
          <cell r="A332">
            <v>4629</v>
          </cell>
          <cell r="B332" t="str">
            <v>MARCOS CARNEIRO DE OLIVEIRA</v>
          </cell>
          <cell r="C332" t="str">
            <v>VENDAS SSA</v>
          </cell>
          <cell r="D332" t="str">
            <v>PROM. VENDAS II-C</v>
          </cell>
          <cell r="E332" t="str">
            <v>EXPEDIÇÃO</v>
          </cell>
        </row>
        <row r="333">
          <cell r="A333">
            <v>4957</v>
          </cell>
          <cell r="B333" t="str">
            <v>MARCOS MACHADO TORRES</v>
          </cell>
          <cell r="C333" t="str">
            <v>EXPEDICAO</v>
          </cell>
          <cell r="D333" t="str">
            <v>AJ DE CARGA E DESCARGA DE MERCADORIA</v>
          </cell>
          <cell r="E333" t="str">
            <v>EXPEDIÇÃO</v>
          </cell>
        </row>
        <row r="334">
          <cell r="A334">
            <v>490</v>
          </cell>
          <cell r="B334" t="str">
            <v>MARCOS VINICIUS SANTOS MACEDO</v>
          </cell>
          <cell r="C334" t="str">
            <v>ESCRITORIO</v>
          </cell>
          <cell r="D334" t="str">
            <v>CONTADOR</v>
          </cell>
          <cell r="E334" t="str">
            <v>EXPEDIÇÃO</v>
          </cell>
        </row>
        <row r="335">
          <cell r="A335">
            <v>1807</v>
          </cell>
          <cell r="B335" t="str">
            <v>MARIA ANGELA BORGES DOS SANTOS</v>
          </cell>
          <cell r="C335" t="str">
            <v>PRODUCAO DE POLPA</v>
          </cell>
          <cell r="D335" t="str">
            <v>OP. MAQUINA PLENO</v>
          </cell>
          <cell r="E335" t="str">
            <v>FABRICA</v>
          </cell>
        </row>
        <row r="336">
          <cell r="A336">
            <v>349</v>
          </cell>
          <cell r="B336" t="str">
            <v>MARIA DA CONCEICAO DE JESUS MOREIRA</v>
          </cell>
          <cell r="C336" t="str">
            <v>PRODUCAO DE POLPA</v>
          </cell>
          <cell r="D336" t="str">
            <v>AUX. PROD. PP</v>
          </cell>
          <cell r="E336" t="str">
            <v>FABRICA</v>
          </cell>
        </row>
        <row r="337">
          <cell r="A337">
            <v>1381</v>
          </cell>
          <cell r="B337" t="str">
            <v>MARIA DA GLORIA SANTOS AMORIM</v>
          </cell>
          <cell r="C337" t="str">
            <v>PRODUCAO DE POLPA</v>
          </cell>
          <cell r="D337" t="str">
            <v>SUP.  DE PRODUÇÃO</v>
          </cell>
          <cell r="E337" t="str">
            <v>FABRICA</v>
          </cell>
        </row>
        <row r="338">
          <cell r="A338">
            <v>3901</v>
          </cell>
          <cell r="B338" t="str">
            <v>MARIA DAS GRACAS DE JESUS SANTOS</v>
          </cell>
          <cell r="C338" t="str">
            <v>CORTE DE FRUTAS</v>
          </cell>
          <cell r="D338" t="str">
            <v>AUX. PROD. CF</v>
          </cell>
          <cell r="E338" t="str">
            <v>FABRICA</v>
          </cell>
        </row>
        <row r="339">
          <cell r="A339">
            <v>1270</v>
          </cell>
          <cell r="B339" t="str">
            <v>MARIA DE LOURDES GONZAGA DE JESUS</v>
          </cell>
          <cell r="C339" t="str">
            <v>PRODUCAO DE POLPA</v>
          </cell>
          <cell r="D339" t="str">
            <v>OP. MAQUINA PLENO</v>
          </cell>
          <cell r="E339" t="str">
            <v>FABRICA</v>
          </cell>
        </row>
        <row r="340">
          <cell r="A340">
            <v>2847</v>
          </cell>
          <cell r="B340" t="str">
            <v>MARIA DE LOURDES SANTOS DA COSTA</v>
          </cell>
          <cell r="C340" t="str">
            <v>CORTE DE FRUTAS</v>
          </cell>
          <cell r="D340" t="str">
            <v>AUX. PROD. CF</v>
          </cell>
          <cell r="E340" t="str">
            <v>FABRICA</v>
          </cell>
        </row>
        <row r="341">
          <cell r="A341">
            <v>1422</v>
          </cell>
          <cell r="B341" t="str">
            <v>MARIA DO SOCORRO LIMA</v>
          </cell>
          <cell r="C341" t="str">
            <v>CORTE DE FRUTAS</v>
          </cell>
          <cell r="D341" t="str">
            <v>AUX. PROD. CF</v>
          </cell>
          <cell r="E341" t="str">
            <v>FABRICA</v>
          </cell>
        </row>
        <row r="342">
          <cell r="A342">
            <v>1424</v>
          </cell>
          <cell r="B342" t="str">
            <v>MARIA HELENA SILVA SANTOS</v>
          </cell>
          <cell r="C342" t="str">
            <v>CORTE DE FRUTAS</v>
          </cell>
          <cell r="D342" t="str">
            <v>AUX. PROD. CF</v>
          </cell>
          <cell r="E342" t="str">
            <v>FABRICA</v>
          </cell>
        </row>
        <row r="343">
          <cell r="A343">
            <v>2355</v>
          </cell>
          <cell r="B343" t="str">
            <v>MARIA REGINA MARTINS</v>
          </cell>
          <cell r="C343" t="str">
            <v>LAVAGEM E SELEÇÃO</v>
          </cell>
          <cell r="D343" t="str">
            <v>AUX. PROD. LS</v>
          </cell>
          <cell r="E343" t="str">
            <v>FABRICA</v>
          </cell>
        </row>
        <row r="344">
          <cell r="A344">
            <v>3245</v>
          </cell>
          <cell r="B344" t="str">
            <v>MARIA RITA DOS SANTOS REIS</v>
          </cell>
          <cell r="C344" t="str">
            <v>PRODUCAO DE POLPA</v>
          </cell>
          <cell r="D344" t="str">
            <v>AUX. PROD. PP</v>
          </cell>
          <cell r="E344" t="str">
            <v>FABRICA</v>
          </cell>
        </row>
        <row r="345">
          <cell r="A345">
            <v>4953</v>
          </cell>
          <cell r="B345" t="str">
            <v>MARIELLE SILVA SOUZA</v>
          </cell>
          <cell r="C345" t="str">
            <v>ESCRITORIO</v>
          </cell>
          <cell r="D345" t="str">
            <v>APRENDIZ AUX. DE ESCRITORIO</v>
          </cell>
          <cell r="E345" t="str">
            <v>EXPEDIÇÃO</v>
          </cell>
        </row>
        <row r="346">
          <cell r="A346">
            <v>3264</v>
          </cell>
          <cell r="B346" t="str">
            <v>MARILENE DE SOUZA OLIVEIRA ALVES</v>
          </cell>
          <cell r="C346" t="str">
            <v>PRODUCAO DE POLPA</v>
          </cell>
          <cell r="D346" t="str">
            <v>AUX. PROD. PP</v>
          </cell>
          <cell r="E346" t="str">
            <v>FABRICA</v>
          </cell>
        </row>
        <row r="347">
          <cell r="A347">
            <v>4465</v>
          </cell>
          <cell r="B347" t="str">
            <v>MARILENE LACERDA DE OLIVEIRA SANTOS</v>
          </cell>
          <cell r="C347" t="str">
            <v>PRODUCAO DE POLPA</v>
          </cell>
          <cell r="D347" t="str">
            <v>AUX. PROD. PP</v>
          </cell>
          <cell r="E347" t="str">
            <v>FABRICA</v>
          </cell>
        </row>
        <row r="348">
          <cell r="A348">
            <v>4325</v>
          </cell>
          <cell r="B348" t="str">
            <v>MARINALVA TEIXEIRA DE JESUS</v>
          </cell>
          <cell r="C348" t="str">
            <v>PRODUÇÃO PP</v>
          </cell>
          <cell r="D348" t="str">
            <v>AUX. PROD. PP</v>
          </cell>
          <cell r="E348" t="str">
            <v>FABRICA</v>
          </cell>
        </row>
        <row r="349">
          <cell r="A349">
            <v>292</v>
          </cell>
          <cell r="B349" t="str">
            <v>MARIO DE OLIVEIRA GOMES</v>
          </cell>
          <cell r="C349" t="str">
            <v>PRODUÇÃO</v>
          </cell>
          <cell r="E349" t="str">
            <v>FABRICA</v>
          </cell>
        </row>
        <row r="350">
          <cell r="A350">
            <v>1139</v>
          </cell>
          <cell r="B350" t="str">
            <v>MARISA RIBEIRO DA CRUZ</v>
          </cell>
          <cell r="C350" t="str">
            <v>REFEITORIO</v>
          </cell>
          <cell r="D350" t="str">
            <v>AUX. COZINHA I-C</v>
          </cell>
          <cell r="E350" t="str">
            <v>EXPEDIÇÃO</v>
          </cell>
        </row>
        <row r="351">
          <cell r="A351">
            <v>4735</v>
          </cell>
          <cell r="B351" t="str">
            <v>MARIVALDO DA SENA ARAUJO</v>
          </cell>
          <cell r="C351" t="str">
            <v>EXTRAÇÃO</v>
          </cell>
          <cell r="D351" t="str">
            <v>AJ DE CARGA E DESCARGA DE MERCADORIA - EX</v>
          </cell>
          <cell r="E351" t="str">
            <v>FABRICA</v>
          </cell>
        </row>
        <row r="352">
          <cell r="A352">
            <v>188</v>
          </cell>
          <cell r="B352" t="str">
            <v>MARIVALDO ROCHA DOS SANTOS</v>
          </cell>
          <cell r="C352" t="str">
            <v>XAROPARIA</v>
          </cell>
          <cell r="D352" t="str">
            <v>OP. MAQUINA SENIOR</v>
          </cell>
          <cell r="E352" t="str">
            <v>FABRICA</v>
          </cell>
        </row>
        <row r="353">
          <cell r="A353">
            <v>4785</v>
          </cell>
          <cell r="B353" t="str">
            <v>MATHEUS DOS SANTOS SANTANA</v>
          </cell>
          <cell r="C353" t="str">
            <v>REFEITORIO</v>
          </cell>
          <cell r="D353" t="str">
            <v>AUXILIAR DE COMPRAS</v>
          </cell>
          <cell r="E353" t="str">
            <v>EXPEDIÇÃO</v>
          </cell>
        </row>
        <row r="354">
          <cell r="A354">
            <v>4770</v>
          </cell>
          <cell r="B354" t="str">
            <v>MATHEUS JOSE OLIVEIRA DE JESUS</v>
          </cell>
          <cell r="C354" t="str">
            <v>VENDAS</v>
          </cell>
          <cell r="D354" t="str">
            <v>PROM. VENDAS II-C</v>
          </cell>
          <cell r="E354" t="str">
            <v>EXPEDIÇÃO</v>
          </cell>
        </row>
        <row r="355">
          <cell r="A355">
            <v>4929</v>
          </cell>
          <cell r="B355" t="str">
            <v>MAURICIO BRITO DO NASCIMENTO</v>
          </cell>
          <cell r="C355" t="str">
            <v>PRODUÇÃO PP</v>
          </cell>
          <cell r="D355" t="str">
            <v>AUX. PROD. PP</v>
          </cell>
          <cell r="E355" t="str">
            <v>FABRICA</v>
          </cell>
        </row>
        <row r="356">
          <cell r="A356">
            <v>4968</v>
          </cell>
          <cell r="B356" t="str">
            <v>MAURO GAVAZZONI</v>
          </cell>
          <cell r="C356" t="str">
            <v>VENDAS</v>
          </cell>
          <cell r="D356" t="str">
            <v>SUPERVISOR DE VENDAS</v>
          </cell>
          <cell r="E356" t="str">
            <v>EXPEDIÇÃO</v>
          </cell>
        </row>
        <row r="357">
          <cell r="A357">
            <v>3447</v>
          </cell>
          <cell r="B357" t="str">
            <v>MEIRE REIJANE VITORIO DE JESUS</v>
          </cell>
          <cell r="C357" t="str">
            <v>VENDAS</v>
          </cell>
          <cell r="D357" t="str">
            <v>PROM. VENDAS II-C</v>
          </cell>
          <cell r="E357" t="str">
            <v>EXPEDIÇÃO</v>
          </cell>
        </row>
        <row r="358">
          <cell r="A358">
            <v>10023</v>
          </cell>
          <cell r="B358" t="str">
            <v>MOISES QUEIROZ CRUZ</v>
          </cell>
          <cell r="C358" t="str">
            <v>AUTONOMO</v>
          </cell>
          <cell r="D358" t="str">
            <v>AUTONOMO</v>
          </cell>
          <cell r="E358" t="str">
            <v>N/D</v>
          </cell>
        </row>
        <row r="359">
          <cell r="A359">
            <v>4332</v>
          </cell>
          <cell r="B359" t="str">
            <v>NATANAEL DE OLIVEIRA CRUZ</v>
          </cell>
          <cell r="C359" t="str">
            <v>MANUTENÇÃO</v>
          </cell>
          <cell r="D359" t="str">
            <v>TECNICO DE REFRIGERACAO</v>
          </cell>
          <cell r="E359" t="str">
            <v>FABRICA</v>
          </cell>
        </row>
        <row r="360">
          <cell r="A360">
            <v>4947</v>
          </cell>
          <cell r="B360" t="str">
            <v>NEIDE DE SANTANA MOREIRA</v>
          </cell>
          <cell r="C360" t="str">
            <v>QUALIDADE</v>
          </cell>
          <cell r="D360" t="str">
            <v>SUPERVISOR DO CONTROLE DE QUALIDADE</v>
          </cell>
          <cell r="E360" t="str">
            <v>EXPEDIÇÃO</v>
          </cell>
        </row>
        <row r="361">
          <cell r="A361">
            <v>4500</v>
          </cell>
          <cell r="B361" t="str">
            <v>NELSON DO NASCIMENTO BIZERRA</v>
          </cell>
          <cell r="C361" t="str">
            <v>EXTRAÇÃO</v>
          </cell>
          <cell r="D361" t="str">
            <v>AJ DE CARGA E DESCARGA DE MERCADORIA - EX</v>
          </cell>
          <cell r="E361" t="str">
            <v>FABRICA</v>
          </cell>
        </row>
        <row r="362">
          <cell r="A362">
            <v>4714</v>
          </cell>
          <cell r="B362" t="str">
            <v>NEMISIO FERREIRA DA SILVA</v>
          </cell>
          <cell r="C362" t="str">
            <v>REFEITORIO</v>
          </cell>
          <cell r="D362" t="str">
            <v>AUX. COZINHA I-C</v>
          </cell>
          <cell r="E362" t="str">
            <v>EXPEDIÇÃO</v>
          </cell>
        </row>
        <row r="363">
          <cell r="A363">
            <v>4696</v>
          </cell>
          <cell r="B363" t="str">
            <v>NERIVALDO SANTANA DE JESUS</v>
          </cell>
          <cell r="C363" t="str">
            <v>EXTRAÇÃO</v>
          </cell>
          <cell r="D363" t="str">
            <v>AJ DE CARGA E DESCARGA DE MERCADORIA</v>
          </cell>
          <cell r="E363" t="str">
            <v>FABRICA</v>
          </cell>
        </row>
        <row r="364">
          <cell r="A364">
            <v>4628</v>
          </cell>
          <cell r="B364" t="str">
            <v>NESTOR GUEDES DE MOURA JUNIOR</v>
          </cell>
          <cell r="C364" t="str">
            <v>VENDAS</v>
          </cell>
          <cell r="D364" t="str">
            <v>PROM. VENDAS I-B</v>
          </cell>
          <cell r="E364" t="str">
            <v>EXPEDIÇÃO</v>
          </cell>
        </row>
        <row r="365">
          <cell r="A365">
            <v>700</v>
          </cell>
          <cell r="B365" t="str">
            <v>NILMA MARIA DA SILVA</v>
          </cell>
          <cell r="C365" t="str">
            <v>PRODUÇÃO I-C</v>
          </cell>
          <cell r="D365" t="str">
            <v>AUX. PROD.   I-C</v>
          </cell>
          <cell r="E365" t="str">
            <v>FABRICA</v>
          </cell>
        </row>
        <row r="366">
          <cell r="A366">
            <v>1432</v>
          </cell>
          <cell r="B366" t="str">
            <v>NILZETE SANTOS DE JESUS</v>
          </cell>
          <cell r="C366" t="str">
            <v>PRODUÇÃO DE POLPA</v>
          </cell>
          <cell r="D366" t="str">
            <v>OP. MAQUINA PLENO</v>
          </cell>
          <cell r="E366" t="str">
            <v>FABRICA</v>
          </cell>
        </row>
        <row r="367">
          <cell r="A367">
            <v>1433</v>
          </cell>
          <cell r="B367" t="str">
            <v>ODETE MARIA DE ARAUJO SANTOS</v>
          </cell>
          <cell r="C367" t="str">
            <v>ALMOXARIFADO</v>
          </cell>
          <cell r="D367" t="str">
            <v>AUXILIAR DE ALMOXARIFADO</v>
          </cell>
          <cell r="E367" t="str">
            <v>FABRICA</v>
          </cell>
        </row>
        <row r="368">
          <cell r="A368">
            <v>4766</v>
          </cell>
          <cell r="B368" t="str">
            <v>OLAYR LOPES REBOUCAS</v>
          </cell>
          <cell r="C368" t="str">
            <v>VENDAS</v>
          </cell>
          <cell r="D368" t="str">
            <v>PROM. VENDAS II-C</v>
          </cell>
          <cell r="E368" t="str">
            <v>EXPEDIÇÃO</v>
          </cell>
        </row>
        <row r="369">
          <cell r="A369">
            <v>16</v>
          </cell>
          <cell r="B369" t="str">
            <v>ORLANDO DE JESUS SANTOS</v>
          </cell>
          <cell r="C369" t="str">
            <v>EXTRAÇÃO</v>
          </cell>
          <cell r="D369" t="str">
            <v>OP. MAQUINA SENIOR</v>
          </cell>
          <cell r="E369" t="str">
            <v>FABRICA</v>
          </cell>
        </row>
        <row r="370">
          <cell r="A370">
            <v>3558</v>
          </cell>
          <cell r="B370" t="str">
            <v>OSVALDO MOREIRA DOS SANTOS</v>
          </cell>
          <cell r="C370" t="str">
            <v>MANUTENÇÃO</v>
          </cell>
          <cell r="D370" t="str">
            <v>ELETRICISTA II-B</v>
          </cell>
          <cell r="E370" t="str">
            <v>FABRICA</v>
          </cell>
        </row>
        <row r="371">
          <cell r="A371">
            <v>1730</v>
          </cell>
          <cell r="B371" t="str">
            <v>OTAVIO DE JESUS TEIXEIRA</v>
          </cell>
          <cell r="C371" t="str">
            <v>MANUTENÇÃO</v>
          </cell>
          <cell r="D371" t="str">
            <v>MECANICO DE REFRIGERACAO - PS</v>
          </cell>
          <cell r="E371" t="str">
            <v>FABRICA</v>
          </cell>
        </row>
        <row r="372">
          <cell r="A372">
            <v>4895</v>
          </cell>
          <cell r="B372" t="str">
            <v>PABIANE BATISTA DE SOUZA DE SANTIAGO</v>
          </cell>
          <cell r="C372" t="str">
            <v>VENDAS</v>
          </cell>
          <cell r="D372" t="str">
            <v>PROM. VENDAS I-B</v>
          </cell>
          <cell r="E372" t="str">
            <v>EXPEDIÇÃO</v>
          </cell>
        </row>
        <row r="373">
          <cell r="A373">
            <v>4316</v>
          </cell>
          <cell r="B373" t="str">
            <v>PAULA LACERDA DE JESUS CARVALHO</v>
          </cell>
          <cell r="C373" t="str">
            <v>PRODUÇÃO LS</v>
          </cell>
          <cell r="D373" t="str">
            <v>AUX. PROD. LS</v>
          </cell>
          <cell r="E373" t="str">
            <v>FABRICA</v>
          </cell>
        </row>
        <row r="374">
          <cell r="A374">
            <v>4547</v>
          </cell>
          <cell r="B374" t="str">
            <v>PAULO ROBERTO FONTES ARGOLLO DE BRITTO</v>
          </cell>
          <cell r="C374" t="str">
            <v>PRODUÇÃO</v>
          </cell>
          <cell r="D374" t="str">
            <v>LIDER DE PRODUCAO</v>
          </cell>
          <cell r="E374" t="str">
            <v>FABRICA</v>
          </cell>
        </row>
        <row r="375">
          <cell r="A375">
            <v>4523</v>
          </cell>
          <cell r="B375" t="str">
            <v>PAULO SERGIO TEIXEIRA DE JESUS</v>
          </cell>
          <cell r="C375" t="str">
            <v>VENDAS</v>
          </cell>
          <cell r="D375" t="str">
            <v>PROM. VENDAS II-C</v>
          </cell>
          <cell r="E375" t="str">
            <v>EXPEDIÇÃO</v>
          </cell>
        </row>
        <row r="376">
          <cell r="A376">
            <v>10016</v>
          </cell>
          <cell r="B376" t="str">
            <v>PIETTRO ALVARES LIRA CAVALCANTE</v>
          </cell>
          <cell r="C376" t="str">
            <v>AUTONOMO</v>
          </cell>
          <cell r="D376" t="str">
            <v>AUTONOMO</v>
          </cell>
          <cell r="E376" t="str">
            <v>N/D</v>
          </cell>
        </row>
        <row r="377">
          <cell r="A377">
            <v>3875</v>
          </cell>
          <cell r="B377" t="str">
            <v>RAFAEL DE JESUS COSTA RIBEIRO REIS</v>
          </cell>
          <cell r="C377" t="str">
            <v>ALMOXARIFADO</v>
          </cell>
          <cell r="D377" t="str">
            <v>ALMOXARIFE</v>
          </cell>
          <cell r="E377" t="str">
            <v>FABRICA</v>
          </cell>
        </row>
        <row r="378">
          <cell r="A378">
            <v>4692</v>
          </cell>
          <cell r="B378" t="str">
            <v>RAFAEL MENDES OLIVEIRA</v>
          </cell>
          <cell r="C378" t="str">
            <v>TRANSPORTE DE MERCADORIA SSA</v>
          </cell>
          <cell r="D378" t="str">
            <v>AJ. DE TRANSPORTE I-C</v>
          </cell>
          <cell r="E378" t="str">
            <v>EXPEDIÇÃO</v>
          </cell>
        </row>
        <row r="379">
          <cell r="A379">
            <v>306</v>
          </cell>
          <cell r="B379" t="str">
            <v>RAIMUNDO DE JESUS RIBEIRO</v>
          </cell>
          <cell r="C379" t="str">
            <v>EXTRAÇÃO</v>
          </cell>
          <cell r="D379" t="str">
            <v>OP. MAQUINA SENIOR</v>
          </cell>
          <cell r="E379" t="str">
            <v>FABRICA</v>
          </cell>
        </row>
        <row r="380">
          <cell r="A380">
            <v>4907</v>
          </cell>
          <cell r="B380" t="str">
            <v>RAIMUNDO DOS SANTOS</v>
          </cell>
          <cell r="C380" t="str">
            <v>EXTRAÇÃO</v>
          </cell>
          <cell r="D380" t="str">
            <v>AJ DE CARGA E DESCARGA DE MERCADORIA - EX</v>
          </cell>
          <cell r="E380" t="str">
            <v>FABRICA</v>
          </cell>
        </row>
        <row r="381">
          <cell r="A381">
            <v>4215</v>
          </cell>
          <cell r="B381" t="str">
            <v>RAIMUNDO LIMA DOS SANTOS</v>
          </cell>
          <cell r="C381" t="str">
            <v>LIMPEZA</v>
          </cell>
          <cell r="D381" t="str">
            <v>AGENTE DE SERVICO INTERNO</v>
          </cell>
          <cell r="E381" t="str">
            <v>FABRICA</v>
          </cell>
        </row>
        <row r="382">
          <cell r="A382">
            <v>4915</v>
          </cell>
          <cell r="B382" t="str">
            <v>RAMON PAIVA DESIDERIO</v>
          </cell>
          <cell r="C382" t="str">
            <v>TRANSPORTE DE MERCADORIA</v>
          </cell>
          <cell r="D382" t="str">
            <v>AJ. DE TRANSPORTE I-C</v>
          </cell>
          <cell r="E382" t="str">
            <v>EXPEDIÇÃO</v>
          </cell>
        </row>
        <row r="383">
          <cell r="A383">
            <v>4910</v>
          </cell>
          <cell r="B383" t="str">
            <v>REGILANIA DOS SANTOS LIMA</v>
          </cell>
          <cell r="C383" t="str">
            <v>VENDAS</v>
          </cell>
          <cell r="D383" t="str">
            <v>PROM. VENDAS I-B</v>
          </cell>
          <cell r="E383" t="str">
            <v>EXPEDIÇÃO</v>
          </cell>
        </row>
        <row r="384">
          <cell r="A384">
            <v>1837</v>
          </cell>
          <cell r="B384" t="str">
            <v>REGINA OLIVEIRA DOS SANTOS</v>
          </cell>
          <cell r="C384" t="str">
            <v>CORTE DE FRUTAS</v>
          </cell>
          <cell r="D384" t="str">
            <v>AUX. PROD. CF</v>
          </cell>
          <cell r="E384" t="str">
            <v>FABRICA</v>
          </cell>
        </row>
        <row r="385">
          <cell r="A385">
            <v>4896</v>
          </cell>
          <cell r="B385" t="str">
            <v>REGINALDO DA CONCEICAO ESTEVOS</v>
          </cell>
          <cell r="C385" t="str">
            <v>OFICINA DE TAMBOR</v>
          </cell>
          <cell r="D385" t="str">
            <v>PINTOR DE MANUTENCAO</v>
          </cell>
          <cell r="E385" t="str">
            <v>FABRICA</v>
          </cell>
        </row>
        <row r="386">
          <cell r="A386">
            <v>4286</v>
          </cell>
          <cell r="B386" t="str">
            <v>REGINALDO TELES SILVA</v>
          </cell>
          <cell r="C386" t="str">
            <v>XAROPARIA</v>
          </cell>
          <cell r="D386" t="str">
            <v>AUX. PROD. XA</v>
          </cell>
          <cell r="E386" t="str">
            <v>FABRICA</v>
          </cell>
        </row>
        <row r="387">
          <cell r="A387">
            <v>10002</v>
          </cell>
          <cell r="B387" t="str">
            <v>REINALDO ALMEIDA PORTUGAL</v>
          </cell>
          <cell r="C387" t="str">
            <v>ESCRITORIO</v>
          </cell>
          <cell r="D387" t="str">
            <v>DIRETOR FINANCEIRO</v>
          </cell>
          <cell r="E387" t="str">
            <v>EXPEDIÇÃO</v>
          </cell>
        </row>
        <row r="388">
          <cell r="A388">
            <v>4780</v>
          </cell>
          <cell r="B388" t="str">
            <v>REINALDO CARVALHO DOS SANTOS</v>
          </cell>
          <cell r="C388" t="str">
            <v>LIMPEZA</v>
          </cell>
          <cell r="D388" t="str">
            <v>AGENTE DE SERVICO INTERNO</v>
          </cell>
          <cell r="E388" t="str">
            <v>FABRICA</v>
          </cell>
        </row>
        <row r="389">
          <cell r="A389">
            <v>10003</v>
          </cell>
          <cell r="B389" t="str">
            <v>REINALDO VINICIUS PAIM PORTUGAL</v>
          </cell>
          <cell r="C389" t="str">
            <v>ESCRITORIO</v>
          </cell>
          <cell r="D389" t="str">
            <v>DIRETOR COMERCIAL</v>
          </cell>
          <cell r="E389" t="str">
            <v>EXPEDIÇÃO</v>
          </cell>
        </row>
        <row r="390">
          <cell r="A390">
            <v>2458</v>
          </cell>
          <cell r="B390" t="str">
            <v>REINIVALDO DE JESUS</v>
          </cell>
          <cell r="C390" t="str">
            <v>TRANSPORTE DE MERCADORIA</v>
          </cell>
          <cell r="D390" t="str">
            <v>AJ. DE TRANSPORTE I-C</v>
          </cell>
          <cell r="E390" t="str">
            <v>EXPEDIÇÃO</v>
          </cell>
        </row>
        <row r="391">
          <cell r="A391">
            <v>10025</v>
          </cell>
          <cell r="B391" t="str">
            <v>RENATO GOMES DA SILVA</v>
          </cell>
          <cell r="C391" t="str">
            <v>AUTONOMO</v>
          </cell>
          <cell r="D391" t="str">
            <v>AUTONOMO</v>
          </cell>
          <cell r="E391" t="str">
            <v>N/D</v>
          </cell>
        </row>
        <row r="392">
          <cell r="A392">
            <v>1315</v>
          </cell>
          <cell r="B392" t="str">
            <v>RENILSON LIMA DE SOUSA</v>
          </cell>
          <cell r="C392" t="str">
            <v>PASTEURIZAÇÃO</v>
          </cell>
          <cell r="D392" t="str">
            <v>OP. MAQUINA SENIOR</v>
          </cell>
          <cell r="E392" t="str">
            <v>FABRICA</v>
          </cell>
        </row>
        <row r="393">
          <cell r="A393">
            <v>4220</v>
          </cell>
          <cell r="B393" t="str">
            <v>RENILTON DE LIMA GOMES</v>
          </cell>
          <cell r="C393" t="str">
            <v>MANUTENÇÃO</v>
          </cell>
          <cell r="D393" t="str">
            <v>MECANICO I-C</v>
          </cell>
          <cell r="E393" t="str">
            <v>FABRICA</v>
          </cell>
        </row>
        <row r="394">
          <cell r="A394">
            <v>4775</v>
          </cell>
          <cell r="B394" t="str">
            <v>RICARDO NERIS SOUZA</v>
          </cell>
          <cell r="C394" t="str">
            <v>EXTRAÇÃO</v>
          </cell>
          <cell r="D394" t="str">
            <v>AJ DE CARGA E DESCARGA DE MERCADORIA - EX</v>
          </cell>
          <cell r="E394" t="str">
            <v>FABRICA</v>
          </cell>
        </row>
        <row r="395">
          <cell r="A395">
            <v>10006</v>
          </cell>
          <cell r="B395" t="str">
            <v>RICARDO PORTUGAL E SILVA</v>
          </cell>
          <cell r="C395" t="str">
            <v>AUTONOMO</v>
          </cell>
          <cell r="D395" t="str">
            <v>AUTONOMO</v>
          </cell>
          <cell r="E395" t="str">
            <v>N/D</v>
          </cell>
        </row>
        <row r="396">
          <cell r="A396">
            <v>4082</v>
          </cell>
          <cell r="B396" t="str">
            <v>RITA ALICE PIO DOS SANTOS ASSIS</v>
          </cell>
          <cell r="C396" t="str">
            <v>PRODUCAO DE POLPA</v>
          </cell>
          <cell r="D396" t="str">
            <v>AUX. PROD. PP</v>
          </cell>
          <cell r="E396" t="str">
            <v>FABRICA</v>
          </cell>
        </row>
        <row r="397">
          <cell r="A397">
            <v>1437</v>
          </cell>
          <cell r="B397" t="str">
            <v>RITA JOAQUINA AMORIM DOS SANTOS</v>
          </cell>
          <cell r="C397" t="str">
            <v>REFEITORIO</v>
          </cell>
          <cell r="D397" t="str">
            <v>AUX. COZINHA I-C</v>
          </cell>
          <cell r="E397" t="str">
            <v>EXPEDIÇÃO</v>
          </cell>
        </row>
        <row r="398">
          <cell r="A398">
            <v>10015</v>
          </cell>
          <cell r="B398" t="str">
            <v>ROBERTO RIOS CARIBE</v>
          </cell>
          <cell r="C398" t="str">
            <v>AUTONOMO</v>
          </cell>
          <cell r="D398" t="str">
            <v>AUTONOMO</v>
          </cell>
          <cell r="E398" t="str">
            <v>N/D</v>
          </cell>
        </row>
        <row r="399">
          <cell r="A399">
            <v>4761</v>
          </cell>
          <cell r="B399" t="str">
            <v>ROBISON SILVA SANTOS</v>
          </cell>
          <cell r="C399" t="str">
            <v>EXPEDICAO</v>
          </cell>
          <cell r="D399" t="str">
            <v>AJ DE CARGA E DESCARGA DE MERCADORIA</v>
          </cell>
          <cell r="E399" t="str">
            <v>EXPEDIÇÃO</v>
          </cell>
        </row>
        <row r="400">
          <cell r="A400">
            <v>4917</v>
          </cell>
          <cell r="B400" t="str">
            <v>ROBSON CAMPOS DE SOUSA</v>
          </cell>
          <cell r="C400" t="str">
            <v>EXPEDICAO</v>
          </cell>
          <cell r="D400" t="str">
            <v>AJ DE CARGA E DESCARGA DE MERCADORIA</v>
          </cell>
          <cell r="E400" t="str">
            <v>EXPEDIÇÃO</v>
          </cell>
        </row>
        <row r="401">
          <cell r="A401">
            <v>4708</v>
          </cell>
          <cell r="B401" t="str">
            <v>ROBSON DA CRUZ DE JESUS LIMA</v>
          </cell>
          <cell r="C401" t="str">
            <v>FILIAL - TRANSPORTE DE MERCADORIA</v>
          </cell>
          <cell r="D401" t="str">
            <v>MOTORISTA   III-B</v>
          </cell>
          <cell r="E401" t="str">
            <v>EXPEDIÇÃO</v>
          </cell>
        </row>
        <row r="402">
          <cell r="A402">
            <v>3274</v>
          </cell>
          <cell r="B402" t="str">
            <v>ROBSON OLIVEIRA DE SOUZA</v>
          </cell>
          <cell r="C402" t="str">
            <v>LIMPEZA</v>
          </cell>
          <cell r="D402" t="str">
            <v>CASEIRO</v>
          </cell>
          <cell r="E402" t="str">
            <v>FABRICA</v>
          </cell>
        </row>
        <row r="403">
          <cell r="A403">
            <v>4707</v>
          </cell>
          <cell r="B403" t="str">
            <v>ROGERIO DA SILVA SANTOS</v>
          </cell>
          <cell r="C403" t="str">
            <v>UTILIDADES</v>
          </cell>
          <cell r="D403" t="str">
            <v>OP. UTILIDADES</v>
          </cell>
          <cell r="E403" t="str">
            <v>FABRICA</v>
          </cell>
        </row>
        <row r="404">
          <cell r="A404">
            <v>4103</v>
          </cell>
          <cell r="B404" t="str">
            <v>ROGERIO DE JESUS LOPES</v>
          </cell>
          <cell r="C404" t="str">
            <v>TRANSPORTE DE MERCADORIA</v>
          </cell>
          <cell r="D404" t="str">
            <v>AJ. DE TRANSPORTE I-C</v>
          </cell>
          <cell r="E404" t="str">
            <v>EXPEDIÇÃO</v>
          </cell>
        </row>
        <row r="405">
          <cell r="A405">
            <v>3729</v>
          </cell>
          <cell r="B405" t="str">
            <v>ROQUE TEIXEIRA DOS SANTOS</v>
          </cell>
          <cell r="C405" t="str">
            <v>TRANSPORTE DE MERCADORIA</v>
          </cell>
          <cell r="D405" t="str">
            <v>MOTORISTA   III-B</v>
          </cell>
          <cell r="E405" t="str">
            <v>EXPEDIÇÃO</v>
          </cell>
        </row>
        <row r="406">
          <cell r="A406">
            <v>4424</v>
          </cell>
          <cell r="B406" t="str">
            <v>ROQUESON NERI DOS SANTOS</v>
          </cell>
          <cell r="C406" t="str">
            <v>MANUTENÇÃO</v>
          </cell>
          <cell r="D406" t="str">
            <v>AUXILIAR DE PEDREIRO INDUSTRIAL</v>
          </cell>
          <cell r="E406" t="str">
            <v>FABRICA</v>
          </cell>
        </row>
        <row r="407">
          <cell r="A407">
            <v>3847</v>
          </cell>
          <cell r="B407" t="str">
            <v>ROSANGELA BORGES DOS SANTOS</v>
          </cell>
          <cell r="C407" t="str">
            <v>ESCRITORIO</v>
          </cell>
          <cell r="D407" t="str">
            <v>AGENTE DE SERVICO INTERNO</v>
          </cell>
          <cell r="E407" t="str">
            <v>EXPEDIÇÃO</v>
          </cell>
        </row>
        <row r="408">
          <cell r="A408">
            <v>1772</v>
          </cell>
          <cell r="B408" t="str">
            <v>ROSANGELA DO ESPIRITO SANTO BORGES</v>
          </cell>
          <cell r="C408" t="str">
            <v>PRODUCAO DE POLPA</v>
          </cell>
          <cell r="D408" t="str">
            <v>OP. MAQUINA JR</v>
          </cell>
          <cell r="E408" t="str">
            <v>FABRICA</v>
          </cell>
        </row>
        <row r="409">
          <cell r="A409">
            <v>4144</v>
          </cell>
          <cell r="B409" t="str">
            <v>ROSELI DO ESPIRITO SANTO BORGES OLIVEIRA</v>
          </cell>
          <cell r="C409" t="str">
            <v>PRODUCAO DE POLPA</v>
          </cell>
          <cell r="D409" t="str">
            <v>AUX. PROD. PP</v>
          </cell>
          <cell r="E409" t="str">
            <v>FABRICA</v>
          </cell>
        </row>
        <row r="410">
          <cell r="A410">
            <v>2454</v>
          </cell>
          <cell r="B410" t="str">
            <v>ROSELY FALCAO BATISTA</v>
          </cell>
          <cell r="C410" t="str">
            <v>ESCRITORIO</v>
          </cell>
          <cell r="D410" t="str">
            <v>CONTROLLER</v>
          </cell>
          <cell r="E410" t="str">
            <v>EXPEDIÇÃO</v>
          </cell>
        </row>
        <row r="411">
          <cell r="A411">
            <v>4389</v>
          </cell>
          <cell r="B411" t="str">
            <v>ROSENIR DO NASCIMENTO SILVA ROSENDO</v>
          </cell>
          <cell r="C411" t="str">
            <v>VENDAS</v>
          </cell>
          <cell r="D411" t="str">
            <v>PROM. VENDAS I-B</v>
          </cell>
          <cell r="E411" t="str">
            <v>EXPEDIÇÃO</v>
          </cell>
        </row>
        <row r="412">
          <cell r="A412">
            <v>4192</v>
          </cell>
          <cell r="B412" t="str">
            <v>ROSIENE VIEIRA SILVA</v>
          </cell>
          <cell r="C412" t="str">
            <v>VENDAS</v>
          </cell>
          <cell r="D412" t="str">
            <v>PROM. VENDAS I-B</v>
          </cell>
          <cell r="E412" t="str">
            <v>EXPEDIÇÃO</v>
          </cell>
        </row>
        <row r="413">
          <cell r="A413">
            <v>4702</v>
          </cell>
          <cell r="B413" t="str">
            <v>SAMUEL BRITO DA SILVA</v>
          </cell>
          <cell r="C413" t="str">
            <v>LABORATORIO</v>
          </cell>
          <cell r="D413" t="str">
            <v>AUXILIAR DE LABORATORIO</v>
          </cell>
          <cell r="E413" t="str">
            <v>FABRICA</v>
          </cell>
        </row>
        <row r="414">
          <cell r="A414">
            <v>4783</v>
          </cell>
          <cell r="B414" t="str">
            <v>SANDRA CARVALHO DE ANDRADE</v>
          </cell>
          <cell r="C414" t="str">
            <v>CORTE DE FRUTAS</v>
          </cell>
          <cell r="D414" t="str">
            <v>AUX. PROD. CF</v>
          </cell>
          <cell r="E414" t="str">
            <v>FABRICA</v>
          </cell>
        </row>
        <row r="415">
          <cell r="A415">
            <v>3850</v>
          </cell>
          <cell r="B415" t="str">
            <v>SANDRA DOS SANTOS GOUVEIA</v>
          </cell>
          <cell r="C415" t="str">
            <v>LAVAGEM E SELEÇÃO</v>
          </cell>
          <cell r="D415" t="str">
            <v>AUX. PROD. LS</v>
          </cell>
          <cell r="E415" t="str">
            <v>FABRICA</v>
          </cell>
        </row>
        <row r="416">
          <cell r="A416">
            <v>4897</v>
          </cell>
          <cell r="B416" t="str">
            <v>SARA RIOS DOS SANTOS</v>
          </cell>
          <cell r="C416" t="str">
            <v>FILIAL - VENDAS SSA</v>
          </cell>
          <cell r="D416" t="str">
            <v>PROM. VENDAS II-C</v>
          </cell>
          <cell r="E416" t="str">
            <v>EXPEDIÇÃO</v>
          </cell>
        </row>
        <row r="417">
          <cell r="A417">
            <v>4210</v>
          </cell>
          <cell r="B417" t="str">
            <v>SARAJANE MARIA DA SILVA</v>
          </cell>
          <cell r="C417" t="str">
            <v>VENDAS</v>
          </cell>
          <cell r="D417" t="str">
            <v>PROM. VENDAS I-B</v>
          </cell>
          <cell r="E417" t="str">
            <v>EXPEDIÇÃO</v>
          </cell>
        </row>
        <row r="418">
          <cell r="A418">
            <v>4695</v>
          </cell>
          <cell r="B418" t="str">
            <v>SDNEY ALVES DOS SANTOS</v>
          </cell>
          <cell r="C418" t="str">
            <v>EXPEDICAO</v>
          </cell>
          <cell r="D418" t="str">
            <v>CONFERENTE</v>
          </cell>
          <cell r="E418" t="str">
            <v>EXPEDIÇÃO</v>
          </cell>
        </row>
        <row r="419">
          <cell r="A419">
            <v>4913</v>
          </cell>
          <cell r="B419" t="str">
            <v>SIDNEI PEREIRA DOS SANTOS</v>
          </cell>
          <cell r="C419" t="str">
            <v>VENDAS SSA</v>
          </cell>
          <cell r="D419" t="str">
            <v>PROM. VENDAS II-C</v>
          </cell>
          <cell r="E419" t="str">
            <v>EXPEDIÇÃO</v>
          </cell>
        </row>
        <row r="420">
          <cell r="A420">
            <v>4905</v>
          </cell>
          <cell r="B420" t="str">
            <v>SIDNEY ARAUJO JUNIOR</v>
          </cell>
          <cell r="C420" t="str">
            <v>TRANSPORTE DE MERCADORIA SSA</v>
          </cell>
          <cell r="D420" t="str">
            <v>AJ. DE TRANSPORTE I-C</v>
          </cell>
          <cell r="E420" t="str">
            <v>EXPEDIÇÃO</v>
          </cell>
        </row>
        <row r="421">
          <cell r="A421">
            <v>2451</v>
          </cell>
          <cell r="B421" t="str">
            <v>SILIO SOARES MONTEIRO</v>
          </cell>
          <cell r="C421" t="str">
            <v>MANUTENÇÃO</v>
          </cell>
          <cell r="D421" t="str">
            <v>LIDER DE MANUTENCAO ELETRICA</v>
          </cell>
          <cell r="E421" t="str">
            <v>FABRICA</v>
          </cell>
        </row>
        <row r="422">
          <cell r="A422">
            <v>4756</v>
          </cell>
          <cell r="B422" t="str">
            <v>SILVANA OLIVEIRA SANTOS</v>
          </cell>
          <cell r="C422" t="str">
            <v>ESCRITORIO</v>
          </cell>
          <cell r="D422" t="str">
            <v>FATURISTA</v>
          </cell>
          <cell r="E422" t="str">
            <v>EXPEDIÇÃO</v>
          </cell>
        </row>
        <row r="423">
          <cell r="A423">
            <v>1509</v>
          </cell>
          <cell r="B423" t="str">
            <v>SILVIA MARIA BASTOS DOS SANTOS</v>
          </cell>
          <cell r="C423" t="str">
            <v>CORTE DE FRUTAS</v>
          </cell>
          <cell r="D423" t="str">
            <v>AUX. PROD. CF</v>
          </cell>
          <cell r="E423" t="str">
            <v>FABRICA</v>
          </cell>
        </row>
        <row r="424">
          <cell r="A424">
            <v>4469</v>
          </cell>
          <cell r="B424" t="str">
            <v>SIMONE RIBEIRO DA COSTA</v>
          </cell>
          <cell r="C424" t="str">
            <v>ESCRITORIO</v>
          </cell>
          <cell r="D424" t="str">
            <v>COPEIRA</v>
          </cell>
          <cell r="E424" t="str">
            <v>EXPEDIÇÃO</v>
          </cell>
        </row>
        <row r="425">
          <cell r="A425">
            <v>1271</v>
          </cell>
          <cell r="B425" t="str">
            <v>SIMONE SANTANA DE JESUS</v>
          </cell>
          <cell r="C425" t="str">
            <v>PRODUCAO DE POLPA</v>
          </cell>
          <cell r="D425" t="str">
            <v>OP. MAQUINA JR</v>
          </cell>
          <cell r="E425" t="str">
            <v>FABRICA</v>
          </cell>
        </row>
        <row r="426">
          <cell r="A426">
            <v>10021</v>
          </cell>
          <cell r="B426" t="str">
            <v>SIRLENE SILVA RIBEIRO</v>
          </cell>
          <cell r="C426" t="str">
            <v>AUTONOMO</v>
          </cell>
          <cell r="D426" t="str">
            <v>AUTONOMO</v>
          </cell>
          <cell r="E426" t="str">
            <v>N/D</v>
          </cell>
        </row>
        <row r="427">
          <cell r="A427">
            <v>4561</v>
          </cell>
          <cell r="B427" t="str">
            <v>SIVANILDO ALVES DOS SANTOS</v>
          </cell>
          <cell r="C427" t="str">
            <v>EXPEDICAO</v>
          </cell>
          <cell r="D427" t="str">
            <v>AJ DE CARGA E DESCARGA DE MERCADORIA</v>
          </cell>
          <cell r="E427" t="str">
            <v>EXPEDIÇÃO</v>
          </cell>
        </row>
        <row r="428">
          <cell r="A428">
            <v>4602</v>
          </cell>
          <cell r="B428" t="str">
            <v>SONIA MARIA FERNANDES MOREIRA AMORIM</v>
          </cell>
          <cell r="C428" t="str">
            <v>PRODUCAO DE POLPA</v>
          </cell>
          <cell r="D428" t="str">
            <v>AUX. PROD. PP</v>
          </cell>
          <cell r="E428" t="str">
            <v>FABRICA</v>
          </cell>
        </row>
        <row r="429">
          <cell r="A429">
            <v>4955</v>
          </cell>
          <cell r="B429" t="str">
            <v>SUZANA SANTOS CHAVES</v>
          </cell>
          <cell r="C429" t="str">
            <v>ESCRITORIO</v>
          </cell>
          <cell r="D429" t="str">
            <v>GERENTE ADM E FINANCEIRO</v>
          </cell>
          <cell r="E429" t="str">
            <v>EXPEDIÇÃO</v>
          </cell>
        </row>
        <row r="430">
          <cell r="A430">
            <v>4771</v>
          </cell>
          <cell r="B430" t="str">
            <v>TAIS SOUZA DA SILVA</v>
          </cell>
          <cell r="C430" t="str">
            <v>ESCRITORIO</v>
          </cell>
          <cell r="D430" t="str">
            <v>APRENDIZ AUX. DE ESCRITORIO</v>
          </cell>
          <cell r="E430" t="str">
            <v>EXPEDIÇÃO</v>
          </cell>
        </row>
        <row r="431">
          <cell r="A431">
            <v>4471</v>
          </cell>
          <cell r="B431" t="str">
            <v>TATIANE AMORIM DOS SANTOS</v>
          </cell>
          <cell r="C431" t="str">
            <v>PRODUCAO DE POLPA</v>
          </cell>
          <cell r="D431" t="str">
            <v>AUX. PROD. PP</v>
          </cell>
          <cell r="E431" t="str">
            <v>FABRICA</v>
          </cell>
        </row>
        <row r="432">
          <cell r="A432">
            <v>4096</v>
          </cell>
          <cell r="B432" t="str">
            <v>TELMA RIBEIRO COSTA</v>
          </cell>
          <cell r="C432" t="str">
            <v>PRODUCAO DE POLPA</v>
          </cell>
          <cell r="D432" t="str">
            <v>AUX. PROD. PP</v>
          </cell>
          <cell r="E432" t="str">
            <v>FABRICA</v>
          </cell>
        </row>
        <row r="433">
          <cell r="A433">
            <v>10017</v>
          </cell>
          <cell r="B433" t="str">
            <v>THIAGO ARAUJO MACEDO</v>
          </cell>
          <cell r="C433" t="str">
            <v>AUTONOMO</v>
          </cell>
          <cell r="D433" t="str">
            <v>AUTONOMO</v>
          </cell>
          <cell r="E433" t="str">
            <v>N/D</v>
          </cell>
        </row>
        <row r="434">
          <cell r="A434">
            <v>4608</v>
          </cell>
          <cell r="B434" t="str">
            <v>THIAGO SANTANA DOS SANTOS</v>
          </cell>
          <cell r="C434" t="str">
            <v>PRODUCAO DE NECTAR</v>
          </cell>
          <cell r="D434" t="str">
            <v>OP. MAQUINA JR</v>
          </cell>
          <cell r="E434" t="str">
            <v>FABRICA</v>
          </cell>
        </row>
        <row r="435">
          <cell r="A435">
            <v>4763</v>
          </cell>
          <cell r="B435" t="str">
            <v>TIAGO MARQUES DA SILVA</v>
          </cell>
          <cell r="C435" t="str">
            <v>EXPEDICAO</v>
          </cell>
          <cell r="D435" t="str">
            <v>EMPILHADOR  III-A</v>
          </cell>
          <cell r="E435" t="str">
            <v>EXPEDIÇÃO</v>
          </cell>
        </row>
        <row r="436">
          <cell r="A436">
            <v>4728</v>
          </cell>
          <cell r="B436" t="str">
            <v>TIAGO SANTANA DE BARROS</v>
          </cell>
          <cell r="C436" t="str">
            <v>PRODUCAO POLPA QUILO ASSISTENCIA</v>
          </cell>
          <cell r="D436" t="str">
            <v>AUX. PROD. QA</v>
          </cell>
          <cell r="E436" t="str">
            <v>FABRICA</v>
          </cell>
        </row>
        <row r="437">
          <cell r="A437">
            <v>3230</v>
          </cell>
          <cell r="B437" t="str">
            <v xml:space="preserve">UBIRACI MACHADO DOS SANTOS </v>
          </cell>
          <cell r="C437" t="str">
            <v>PASTEURIZAÇÃO</v>
          </cell>
          <cell r="D437" t="str">
            <v>OP. MAQUINA SENIOR</v>
          </cell>
          <cell r="E437" t="str">
            <v>FABRICA</v>
          </cell>
        </row>
        <row r="438">
          <cell r="A438">
            <v>2255</v>
          </cell>
          <cell r="B438" t="str">
            <v>UBIRATAN DOS SANTOS MENDES</v>
          </cell>
          <cell r="C438" t="str">
            <v>UTILIDADES</v>
          </cell>
          <cell r="D438" t="str">
            <v>LIDER DE UTILIDADES</v>
          </cell>
          <cell r="E438" t="str">
            <v>FABRICA</v>
          </cell>
        </row>
        <row r="439">
          <cell r="A439">
            <v>4717</v>
          </cell>
          <cell r="B439" t="str">
            <v>VAGNER DO ROSARIO RIBEIRO</v>
          </cell>
          <cell r="C439" t="str">
            <v>PRODUCAO POLPA ASSISTENCIA</v>
          </cell>
          <cell r="D439" t="str">
            <v>AUX. PROD. PA</v>
          </cell>
          <cell r="E439" t="str">
            <v>FABRICA</v>
          </cell>
        </row>
        <row r="440">
          <cell r="A440">
            <v>2819</v>
          </cell>
          <cell r="B440" t="str">
            <v>VALDEILSON GOMES DE SANTIAGO</v>
          </cell>
          <cell r="C440" t="str">
            <v>VENDAS</v>
          </cell>
          <cell r="D440" t="str">
            <v>PROM. VENDAS II-C</v>
          </cell>
          <cell r="E440" t="str">
            <v>EXPEDIÇÃO</v>
          </cell>
        </row>
        <row r="441">
          <cell r="A441">
            <v>4379</v>
          </cell>
          <cell r="B441" t="str">
            <v>VALDINEIA CERQUEIRA PEREIRA</v>
          </cell>
          <cell r="C441" t="str">
            <v>PRODUCAO DE POLPA</v>
          </cell>
          <cell r="D441" t="str">
            <v>AUX. PROD. PP</v>
          </cell>
          <cell r="E441" t="str">
            <v>FABRICA</v>
          </cell>
        </row>
        <row r="442">
          <cell r="A442">
            <v>4168</v>
          </cell>
          <cell r="B442" t="str">
            <v>VALDIR DE CARVALHO PINHEIRO</v>
          </cell>
          <cell r="C442" t="str">
            <v>TRANSPORTE DE MERCADORIA</v>
          </cell>
          <cell r="D442" t="str">
            <v>AJ. DE TRANSPORTE I-C</v>
          </cell>
          <cell r="E442" t="str">
            <v>EXPEDIÇÃO</v>
          </cell>
        </row>
        <row r="443">
          <cell r="A443">
            <v>1385</v>
          </cell>
          <cell r="B443" t="str">
            <v>VALERIANO DE JESUS ALVES</v>
          </cell>
          <cell r="C443" t="str">
            <v>UTILIDADES</v>
          </cell>
          <cell r="D443" t="str">
            <v>OP. UTILIDADES</v>
          </cell>
          <cell r="E443" t="str">
            <v>FABRICA</v>
          </cell>
        </row>
        <row r="444">
          <cell r="A444">
            <v>4477</v>
          </cell>
          <cell r="B444" t="str">
            <v>VALMIR PURIFICACAO DE JESUS</v>
          </cell>
          <cell r="C444" t="str">
            <v>UTILIDADES</v>
          </cell>
          <cell r="D444" t="str">
            <v>OP. UTILIDADES</v>
          </cell>
          <cell r="E444" t="str">
            <v>FABRICA</v>
          </cell>
        </row>
        <row r="445">
          <cell r="A445">
            <v>903</v>
          </cell>
          <cell r="B445" t="str">
            <v>VALTER FRANCISCO DE JESUS SILVA</v>
          </cell>
          <cell r="C445" t="str">
            <v>LIMPEZA</v>
          </cell>
          <cell r="D445" t="str">
            <v>OP. ESTACAO DE AGUA E EFLUENTES PLENO</v>
          </cell>
          <cell r="E445" t="str">
            <v>FABRICA</v>
          </cell>
        </row>
      </sheetData>
      <sheetData sheetId="3" refreshError="1">
        <row r="5">
          <cell r="B5" t="str">
            <v xml:space="preserve">  Abacaxi</v>
          </cell>
          <cell r="C5">
            <v>5.95</v>
          </cell>
          <cell r="F5" t="str">
            <v>Abacaxi</v>
          </cell>
          <cell r="G5">
            <v>7.85</v>
          </cell>
        </row>
        <row r="6">
          <cell r="B6" t="str">
            <v xml:space="preserve">  Acerola</v>
          </cell>
          <cell r="C6">
            <v>5.95</v>
          </cell>
          <cell r="F6" t="str">
            <v>Acerola</v>
          </cell>
          <cell r="G6">
            <v>7.85</v>
          </cell>
        </row>
        <row r="7">
          <cell r="B7" t="str">
            <v xml:space="preserve">  Caju</v>
          </cell>
          <cell r="C7">
            <v>5.95</v>
          </cell>
          <cell r="F7" t="str">
            <v>Caja</v>
          </cell>
          <cell r="G7">
            <v>7.85</v>
          </cell>
        </row>
        <row r="8">
          <cell r="B8" t="str">
            <v xml:space="preserve">  Goiaba</v>
          </cell>
          <cell r="C8">
            <v>4.8099999999999996</v>
          </cell>
          <cell r="F8" t="str">
            <v>Cajú</v>
          </cell>
          <cell r="G8">
            <v>7.85</v>
          </cell>
        </row>
        <row r="9">
          <cell r="B9" t="str">
            <v xml:space="preserve">  Limão</v>
          </cell>
          <cell r="C9">
            <v>4.8099999999999996</v>
          </cell>
          <cell r="F9" t="str">
            <v>Goiaba</v>
          </cell>
          <cell r="G9">
            <v>7.85</v>
          </cell>
        </row>
        <row r="10">
          <cell r="B10" t="str">
            <v xml:space="preserve">  Mamão</v>
          </cell>
          <cell r="C10">
            <v>4.8099999999999996</v>
          </cell>
          <cell r="F10" t="str">
            <v>Limão</v>
          </cell>
          <cell r="G10">
            <v>7.85</v>
          </cell>
        </row>
        <row r="11">
          <cell r="B11" t="str">
            <v xml:space="preserve">  Manga</v>
          </cell>
          <cell r="C11">
            <v>4.8099999999999996</v>
          </cell>
          <cell r="F11" t="str">
            <v>Manga</v>
          </cell>
          <cell r="G11">
            <v>7.85</v>
          </cell>
        </row>
        <row r="12">
          <cell r="B12" t="str">
            <v xml:space="preserve">  Melão</v>
          </cell>
          <cell r="C12">
            <v>4.8099999999999996</v>
          </cell>
          <cell r="F12" t="str">
            <v>Maracujá</v>
          </cell>
          <cell r="G12">
            <v>7.85</v>
          </cell>
        </row>
        <row r="13">
          <cell r="B13" t="str">
            <v xml:space="preserve">  Siriguela</v>
          </cell>
          <cell r="C13">
            <v>4.8099999999999996</v>
          </cell>
          <cell r="F13" t="str">
            <v>Tangerina</v>
          </cell>
          <cell r="G13">
            <v>7.85</v>
          </cell>
        </row>
        <row r="14">
          <cell r="B14" t="str">
            <v xml:space="preserve">  Tamarindo</v>
          </cell>
          <cell r="C14">
            <v>4.8099999999999996</v>
          </cell>
          <cell r="F14" t="str">
            <v xml:space="preserve">Umbu </v>
          </cell>
          <cell r="G14">
            <v>7.85</v>
          </cell>
        </row>
        <row r="15">
          <cell r="B15" t="str">
            <v xml:space="preserve">  Umbu</v>
          </cell>
          <cell r="C15">
            <v>5.95</v>
          </cell>
          <cell r="F15" t="str">
            <v>Uva</v>
          </cell>
          <cell r="G15">
            <v>7.85</v>
          </cell>
        </row>
        <row r="16">
          <cell r="B16" t="str">
            <v xml:space="preserve">  Cacau</v>
          </cell>
          <cell r="C16">
            <v>5.95</v>
          </cell>
        </row>
        <row r="17">
          <cell r="B17" t="str">
            <v xml:space="preserve">  Cajá</v>
          </cell>
          <cell r="C17">
            <v>9.3800000000000008</v>
          </cell>
        </row>
        <row r="18">
          <cell r="B18" t="str">
            <v xml:space="preserve">  Açaí</v>
          </cell>
          <cell r="C18">
            <v>16.03</v>
          </cell>
        </row>
        <row r="19">
          <cell r="B19" t="str">
            <v xml:space="preserve">  Cupuaçu</v>
          </cell>
          <cell r="C19">
            <v>9.3800000000000008</v>
          </cell>
        </row>
        <row r="20">
          <cell r="B20" t="str">
            <v xml:space="preserve">  Graviola</v>
          </cell>
          <cell r="C20">
            <v>9.3800000000000008</v>
          </cell>
        </row>
        <row r="21">
          <cell r="B21" t="str">
            <v xml:space="preserve">  Maracujá</v>
          </cell>
          <cell r="C21">
            <v>12.88</v>
          </cell>
        </row>
        <row r="22">
          <cell r="B22" t="str">
            <v xml:space="preserve">  Morango</v>
          </cell>
          <cell r="C22">
            <v>9.3800000000000008</v>
          </cell>
        </row>
        <row r="23">
          <cell r="B23" t="str">
            <v xml:space="preserve">  Uva</v>
          </cell>
          <cell r="C23">
            <v>9.3800000000000008</v>
          </cell>
        </row>
        <row r="24">
          <cell r="B24" t="str">
            <v xml:space="preserve">  Tangerina</v>
          </cell>
          <cell r="C24">
            <v>5.95</v>
          </cell>
        </row>
        <row r="25">
          <cell r="B25" t="str">
            <v xml:space="preserve">  Pêssego</v>
          </cell>
          <cell r="C25">
            <v>9.3800000000000008</v>
          </cell>
        </row>
        <row r="26">
          <cell r="B26" t="str">
            <v xml:space="preserve">  Coco</v>
          </cell>
          <cell r="C26">
            <v>9.3800000000000008</v>
          </cell>
        </row>
        <row r="27">
          <cell r="B27" t="str">
            <v xml:space="preserve">  Acerola e Mamão</v>
          </cell>
          <cell r="C27">
            <v>5.95</v>
          </cell>
        </row>
        <row r="28">
          <cell r="B28" t="str">
            <v xml:space="preserve"> Abacaxi e Hortelã</v>
          </cell>
          <cell r="C28">
            <v>5.95</v>
          </cell>
        </row>
        <row r="29">
          <cell r="B29" t="str">
            <v xml:space="preserve"> Amora</v>
          </cell>
          <cell r="C29">
            <v>9.3800000000000008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B5" t="str">
            <v xml:space="preserve">  Abacaxi</v>
          </cell>
          <cell r="C5">
            <v>24</v>
          </cell>
        </row>
        <row r="6">
          <cell r="B6" t="str">
            <v xml:space="preserve">  Acerola</v>
          </cell>
          <cell r="C6">
            <v>126</v>
          </cell>
        </row>
        <row r="7">
          <cell r="B7" t="str">
            <v xml:space="preserve">  Caju</v>
          </cell>
          <cell r="C7">
            <v>54</v>
          </cell>
        </row>
        <row r="8">
          <cell r="B8" t="str">
            <v xml:space="preserve">  Goiaba</v>
          </cell>
          <cell r="C8">
            <v>73</v>
          </cell>
        </row>
        <row r="9">
          <cell r="B9" t="str">
            <v xml:space="preserve">  Limão</v>
          </cell>
          <cell r="C9">
            <v>4</v>
          </cell>
        </row>
        <row r="10">
          <cell r="B10" t="str">
            <v xml:space="preserve">  Mamão</v>
          </cell>
          <cell r="C10">
            <v>1</v>
          </cell>
        </row>
        <row r="11">
          <cell r="B11" t="str">
            <v xml:space="preserve">  Manga</v>
          </cell>
          <cell r="C11">
            <v>74</v>
          </cell>
        </row>
        <row r="12">
          <cell r="B12" t="str">
            <v xml:space="preserve">  Melão</v>
          </cell>
          <cell r="C12">
            <v>0</v>
          </cell>
        </row>
        <row r="13">
          <cell r="B13" t="str">
            <v xml:space="preserve">  Siriguela</v>
          </cell>
          <cell r="C13">
            <v>1</v>
          </cell>
        </row>
        <row r="14">
          <cell r="B14" t="str">
            <v xml:space="preserve">  Tamarindo</v>
          </cell>
          <cell r="C14">
            <v>46</v>
          </cell>
        </row>
        <row r="15">
          <cell r="B15" t="str">
            <v xml:space="preserve">  Umbu</v>
          </cell>
          <cell r="C15">
            <v>146</v>
          </cell>
        </row>
        <row r="16">
          <cell r="B16" t="str">
            <v xml:space="preserve">  Cacau</v>
          </cell>
          <cell r="C16">
            <v>26</v>
          </cell>
        </row>
        <row r="17">
          <cell r="B17" t="str">
            <v xml:space="preserve">  Cajá</v>
          </cell>
          <cell r="C17">
            <v>61</v>
          </cell>
        </row>
        <row r="18">
          <cell r="B18" t="str">
            <v xml:space="preserve">  Açaí</v>
          </cell>
          <cell r="C18">
            <v>7</v>
          </cell>
        </row>
        <row r="19">
          <cell r="B19" t="str">
            <v xml:space="preserve">  Cupuaçu</v>
          </cell>
          <cell r="C19">
            <v>9</v>
          </cell>
        </row>
        <row r="20">
          <cell r="B20" t="str">
            <v xml:space="preserve">  Graviola</v>
          </cell>
          <cell r="C20">
            <v>22</v>
          </cell>
        </row>
        <row r="21">
          <cell r="B21" t="str">
            <v xml:space="preserve">  Maracujá</v>
          </cell>
          <cell r="C21">
            <v>53</v>
          </cell>
        </row>
        <row r="22">
          <cell r="B22" t="str">
            <v xml:space="preserve">  Morango</v>
          </cell>
          <cell r="C22">
            <v>26</v>
          </cell>
        </row>
        <row r="23">
          <cell r="B23" t="str">
            <v xml:space="preserve">  Uva</v>
          </cell>
          <cell r="C23">
            <v>13</v>
          </cell>
        </row>
        <row r="24">
          <cell r="B24" t="str">
            <v xml:space="preserve">  Tangerina</v>
          </cell>
          <cell r="C24">
            <v>16</v>
          </cell>
        </row>
        <row r="25">
          <cell r="B25" t="str">
            <v xml:space="preserve">  Pêssego</v>
          </cell>
          <cell r="C25">
            <v>1</v>
          </cell>
        </row>
        <row r="26">
          <cell r="B26" t="str">
            <v xml:space="preserve">  Coco</v>
          </cell>
          <cell r="C26">
            <v>2</v>
          </cell>
        </row>
        <row r="27">
          <cell r="B27" t="str">
            <v xml:space="preserve">  Acerola e Mamão</v>
          </cell>
          <cell r="C27">
            <v>3</v>
          </cell>
        </row>
        <row r="28">
          <cell r="B28" t="str">
            <v xml:space="preserve"> Abacaxi e Hortelã</v>
          </cell>
          <cell r="C28">
            <v>4</v>
          </cell>
        </row>
        <row r="29">
          <cell r="B29" t="str">
            <v xml:space="preserve"> Amora</v>
          </cell>
          <cell r="C29">
            <v>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erson ES. Souza" refreshedDate="46076.664726967596" missingItemsLimit="0" createdVersion="7" refreshedVersion="8" minRefreshableVersion="3" recordCount="445" xr:uid="{CDF359EE-AFBC-4A8F-83AB-1AED55E762C1}">
  <cacheSource type="worksheet">
    <worksheetSource name="Funcionários_Ativos"/>
  </cacheSource>
  <cacheFields count="10">
    <cacheField name="INSCRIÇÃO" numFmtId="0">
      <sharedItems containsSemiMixedTypes="0" containsString="0" containsNumber="1" containsInteger="1" minValue="123" maxValue="99015" count="445">
        <n v="5040"/>
        <n v="7011"/>
        <n v="5028"/>
        <n v="7146"/>
        <n v="5003"/>
        <n v="7139"/>
        <n v="7140"/>
        <n v="4189"/>
        <n v="7246"/>
        <n v="7234"/>
        <n v="7236"/>
        <n v="3220"/>
        <n v="4932"/>
        <n v="1246"/>
        <n v="7142"/>
        <n v="7235"/>
        <n v="3896"/>
        <n v="3506"/>
        <n v="4665"/>
        <n v="3974"/>
        <n v="7239"/>
        <n v="3758"/>
        <n v="7025"/>
        <n v="4914"/>
        <n v="7143"/>
        <n v="4642"/>
        <n v="7029"/>
        <n v="4790"/>
        <n v="490"/>
        <n v="7241"/>
        <n v="5087"/>
        <n v="7237"/>
        <n v="7242"/>
        <n v="4947"/>
        <n v="5089"/>
        <n v="10002"/>
        <n v="10003"/>
        <n v="3847"/>
        <n v="2454"/>
        <n v="3639"/>
        <n v="4469"/>
        <n v="7243"/>
        <n v="7152"/>
        <n v="7149"/>
        <n v="4937"/>
        <n v="4700"/>
        <n v="3450"/>
        <n v="4993"/>
        <n v="7095"/>
        <n v="4974"/>
        <n v="5090"/>
        <n v="5098"/>
        <n v="5085"/>
        <n v="7096"/>
        <n v="7010"/>
        <n v="3160"/>
        <n v="1306"/>
        <n v="6027"/>
        <n v="6086"/>
        <n v="7178"/>
        <n v="5084"/>
        <n v="5039"/>
        <n v="7231"/>
        <n v="4632"/>
        <n v="7161"/>
        <n v="4926"/>
        <n v="1348"/>
        <n v="3740"/>
        <n v="4063"/>
        <n v="1349"/>
        <n v="4416"/>
        <n v="7024"/>
        <n v="4626"/>
        <n v="4925"/>
        <n v="4065"/>
        <n v="4536"/>
        <n v="7268"/>
        <n v="7160"/>
        <n v="4556"/>
        <n v="7159"/>
        <n v="7219"/>
        <n v="7265"/>
        <n v="4978"/>
        <n v="4782"/>
        <n v="6084"/>
        <n v="7173"/>
        <n v="7176"/>
        <n v="4918"/>
        <n v="7260"/>
        <n v="7174"/>
        <n v="5046"/>
        <n v="7164"/>
        <n v="7141"/>
        <n v="7220"/>
        <n v="4002"/>
        <n v="3217"/>
        <n v="5077"/>
        <n v="5076"/>
        <n v="4004"/>
        <n v="4481"/>
        <n v="4625"/>
        <n v="3552"/>
        <n v="7100"/>
        <n v="7238"/>
        <n v="7094"/>
        <n v="4571"/>
        <n v="6029"/>
        <n v="3219"/>
        <n v="4055"/>
        <n v="3507"/>
        <n v="6007"/>
        <n v="7019"/>
        <n v="4694"/>
        <n v="4967"/>
        <n v="5008"/>
        <n v="7115"/>
        <n v="5045"/>
        <n v="4948"/>
        <n v="5023"/>
        <n v="4401"/>
        <n v="7259"/>
        <n v="7200"/>
        <n v="6008"/>
        <n v="4394"/>
        <n v="1449"/>
        <n v="4986"/>
        <n v="6030"/>
        <n v="7081"/>
        <n v="7199"/>
        <n v="4754"/>
        <n v="4725"/>
        <n v="7022"/>
        <n v="5081"/>
        <n v="3084"/>
        <n v="4670"/>
        <n v="7197"/>
        <n v="7204"/>
        <n v="7258"/>
        <n v="7102"/>
        <n v="4382"/>
        <n v="7267"/>
        <n v="7264"/>
        <n v="5043"/>
        <n v="7240"/>
        <n v="7006"/>
        <n v="4944"/>
        <n v="6011"/>
        <n v="3486"/>
        <n v="4558"/>
        <n v="3443"/>
        <n v="7180"/>
        <n v="7099"/>
        <n v="4525"/>
        <n v="7122"/>
        <n v="4724"/>
        <n v="4506"/>
        <n v="1353"/>
        <n v="4403"/>
        <n v="7023"/>
        <n v="4906"/>
        <n v="4715"/>
        <n v="4668"/>
        <n v="4629"/>
        <n v="4957"/>
        <n v="4770"/>
        <n v="7186"/>
        <n v="4968"/>
        <n v="3447"/>
        <n v="5021"/>
        <n v="7148"/>
        <n v="4628"/>
        <n v="7209"/>
        <n v="4766"/>
        <n v="4895"/>
        <n v="5034"/>
        <n v="7085"/>
        <n v="4523"/>
        <n v="5016"/>
        <n v="7150"/>
        <n v="4692"/>
        <n v="5050"/>
        <n v="7080"/>
        <n v="7172"/>
        <n v="7198"/>
        <n v="7206"/>
        <n v="2458"/>
        <n v="7208"/>
        <n v="4708"/>
        <n v="3729"/>
        <n v="4389"/>
        <n v="4192"/>
        <n v="7201"/>
        <n v="4210"/>
        <n v="5005"/>
        <n v="7175"/>
        <n v="7098"/>
        <n v="5032"/>
        <n v="7076"/>
        <n v="2819"/>
        <n v="4168"/>
        <n v="4292"/>
        <n v="5047"/>
        <n v="3760"/>
        <n v="4099"/>
        <n v="4927"/>
        <n v="5075"/>
        <n v="1190"/>
        <n v="4295"/>
        <n v="3422"/>
        <n v="5095"/>
        <n v="7272"/>
        <n v="6097"/>
        <n v="123"/>
        <n v="7067"/>
        <n v="7276"/>
        <n v="4043"/>
        <n v="7277"/>
        <n v="2897"/>
        <n v="3693"/>
        <n v="5015"/>
        <n v="301"/>
        <n v="5002"/>
        <n v="1313"/>
        <n v="3745"/>
        <n v="4008"/>
        <n v="4998"/>
        <n v="4772"/>
        <n v="4548"/>
        <n v="3878"/>
        <n v="1636"/>
        <n v="4046"/>
        <n v="4319"/>
        <n v="3525"/>
        <n v="4618"/>
        <n v="7063"/>
        <n v="4218"/>
        <n v="7068"/>
        <n v="7271"/>
        <n v="2355"/>
        <n v="4500"/>
        <n v="4547"/>
        <n v="3850"/>
        <n v="7269"/>
        <n v="3230"/>
        <n v="4933"/>
        <n v="7166"/>
        <n v="99014"/>
        <n v="99010"/>
        <n v="7151"/>
        <n v="7077"/>
        <n v="99008"/>
        <n v="7244"/>
        <n v="99015"/>
        <n v="2857"/>
        <n v="4180"/>
        <n v="4163"/>
        <n v="7249"/>
        <n v="7005"/>
        <n v="7257"/>
        <n v="7248"/>
        <n v="7251"/>
        <n v="7263"/>
        <n v="7250"/>
        <n v="7044"/>
        <n v="7049"/>
        <n v="4702"/>
        <n v="7205"/>
        <n v="7061"/>
        <n v="7047"/>
        <n v="4195"/>
        <n v="3455"/>
        <n v="4645"/>
        <n v="1555"/>
        <n v="4729"/>
        <n v="7207"/>
        <n v="6005"/>
        <n v="7233"/>
        <n v="4540"/>
        <n v="4959"/>
        <n v="5017"/>
        <n v="3642"/>
        <n v="3102"/>
        <n v="7191"/>
        <n v="7104"/>
        <n v="5011"/>
        <n v="1234"/>
        <n v="3972"/>
        <n v="5093"/>
        <n v="4935"/>
        <n v="3094"/>
        <n v="7028"/>
        <n v="7107"/>
        <n v="6092"/>
        <n v="4147"/>
        <n v="7111"/>
        <n v="7203"/>
        <n v="4765"/>
        <n v="7021"/>
        <n v="7245"/>
        <n v="7190"/>
        <n v="6006"/>
        <n v="3163"/>
        <n v="3448"/>
        <n v="3252"/>
        <n v="3964"/>
        <n v="6064"/>
        <n v="3792"/>
        <n v="3966"/>
        <n v="3703"/>
        <n v="7110"/>
        <n v="4108"/>
        <n v="4633"/>
        <n v="7232"/>
        <n v="7105"/>
        <n v="4332"/>
        <n v="3558"/>
        <n v="1730"/>
        <n v="7027"/>
        <n v="4215"/>
        <n v="4896"/>
        <n v="4220"/>
        <n v="3274"/>
        <n v="4707"/>
        <n v="6016"/>
        <n v="2451"/>
        <n v="2255"/>
        <n v="1385"/>
        <n v="903"/>
        <n v="986"/>
        <n v="1743"/>
        <n v="7126"/>
        <n v="4551"/>
        <n v="7129"/>
        <n v="2797"/>
        <n v="697"/>
        <n v="7278"/>
        <n v="4989"/>
        <n v="2798"/>
        <n v="7144"/>
        <n v="7137"/>
        <n v="7270"/>
        <n v="4519"/>
        <n v="1908"/>
        <n v="7214"/>
        <n v="1553"/>
        <n v="1751"/>
        <n v="7221"/>
        <n v="7225"/>
        <n v="2276"/>
        <n v="7033"/>
        <n v="2388"/>
        <n v="3225"/>
        <n v="2841"/>
        <n v="2884"/>
        <n v="839"/>
        <n v="7273"/>
        <n v="4966"/>
        <n v="6088"/>
        <n v="7179"/>
        <n v="7009"/>
        <n v="7261"/>
        <n v="7133"/>
        <n v="7254"/>
        <n v="7147"/>
        <n v="7255"/>
        <n v="7216"/>
        <n v="7210"/>
        <n v="7134"/>
        <n v="4701"/>
        <n v="7212"/>
        <n v="4369"/>
        <n v="7217"/>
        <n v="7229"/>
        <n v="3473"/>
        <n v="5019"/>
        <n v="4084"/>
        <n v="4736"/>
        <n v="7256"/>
        <n v="4592"/>
        <n v="7136"/>
        <n v="4593"/>
        <n v="6094"/>
        <n v="4039"/>
        <n v="6020"/>
        <n v="7230"/>
        <n v="7030"/>
        <n v="4461"/>
        <n v="4634"/>
        <n v="3530"/>
        <n v="4997"/>
        <n v="2843"/>
        <n v="7156"/>
        <n v="4570"/>
        <n v="695"/>
        <n v="2848"/>
        <n v="4669"/>
        <n v="1807"/>
        <n v="349"/>
        <n v="1270"/>
        <n v="1422"/>
        <n v="1424"/>
        <n v="3245"/>
        <n v="3264"/>
        <n v="4325"/>
        <n v="292"/>
        <n v="188"/>
        <n v="7213"/>
        <n v="4929"/>
        <n v="7130"/>
        <n v="7228"/>
        <n v="4601"/>
        <n v="1432"/>
        <n v="7065"/>
        <n v="7252"/>
        <n v="7262"/>
        <n v="7181"/>
        <n v="3875"/>
        <n v="7275"/>
        <n v="7121"/>
        <n v="7227"/>
        <n v="1837"/>
        <n v="1772"/>
        <n v="7253"/>
        <n v="1509"/>
        <n v="1271"/>
        <n v="4471"/>
        <n v="4096"/>
        <n v="7127"/>
        <n v="7034"/>
        <n v="7222"/>
        <n v="7188"/>
        <n v="7187"/>
        <n v="4721"/>
        <n v="3396"/>
        <n v="3647"/>
        <n v="4566"/>
        <n v="1286"/>
        <n v="4423"/>
        <n v="3648"/>
        <n v="1139"/>
        <n v="6000"/>
        <n v="6026"/>
        <n v="7097"/>
        <n v="4144"/>
        <n v="3440"/>
      </sharedItems>
    </cacheField>
    <cacheField name="FUNCIONARIO" numFmtId="0">
      <sharedItems count="445">
        <s v="ARILSON DE OLIVEIRA LOPES"/>
        <s v="BRENDO WANDERSON DE SOUZA OLIVEIRA SANTOS"/>
        <s v="EMESON DE JESUS OLIVEIRA"/>
        <s v="ESPEDITO KAUAN DOS SANTOS DOS SANTOS"/>
        <s v="OTAVIO RODRIGO FREITAS TEIXEIRA"/>
        <s v="RAILAN SOUZA GONCALVES"/>
        <s v="RONALD SANTOS OLIVEIRA"/>
        <s v="ADRIANA DE LIMA SOUSA SILVA"/>
        <s v="BRUNO BATISTA GUARDIANO SANTOS"/>
        <s v="CLEITON BRITO MACEDO"/>
        <s v="DANIELLY DOS SANTOS BASTOS"/>
        <s v="DANILO BORGES MASCARENHAS"/>
        <s v="DHULHIANY BARBOSA LIMA"/>
        <s v="ELIANA DE ARAUJO SILVA"/>
        <s v="GABRIEL BORGES DE SANTANA"/>
        <s v="GUILHERME CERQUEIRA DIAS"/>
        <s v="HAMILTON RIBEIRO DE OLIVEIRA"/>
        <s v="HERICA MOTA SCHNEIDER"/>
        <s v="JACIARA BATISTA DE MENEZES"/>
        <s v="KARINE OLIVEIRA DOS SANTOS LOBO"/>
        <s v="KAUANNE FRANTINY ARAUJO DE OLIVEIRA"/>
        <s v="KEILA FERREIRA SANTANA VIEIRA"/>
        <s v="LAISA CERQUEIRA DOS SANTOS"/>
        <s v="LAIZE EVELLEN DA SILVA COUTO"/>
        <s v="LORENA BORGES DE OLIVEIRA"/>
        <s v="LUCAS VINICIUS DE JESUS MOREIRA"/>
        <s v="MAILE SANTANA DA SILVA"/>
        <s v="MARCIO MACHADO TORRES"/>
        <s v="MARCOS VINICIUS SANTOS MACEDO"/>
        <s v="MARIA EDUARDA SILVA FERNANDES"/>
        <s v="MARIELLE SILVA SOUZA"/>
        <s v="MICHELLE CARNEIRO FERREIRA"/>
        <s v="MIRELA VERONICA PIMENTEL CUNHA"/>
        <s v="NEIDE DE SANTANA MOREIRA"/>
        <s v="RAFAELA TRABUCO DE ARAUJO SILVA"/>
        <s v="REINALDO ALMEIDA PORTUGAL"/>
        <s v="REINALDO VINICIUS PAIM PORTUGAL"/>
        <s v="ROSANGELA BORGES DOS SANTOS"/>
        <s v="ROSELY FALCAO BATISTA"/>
        <s v="SANDRA MERCIA DE MELO COSTA MASCARENHAS"/>
        <s v="SIMONE RIBEIRO DA COSTA"/>
        <s v="SINARA DE SOUSA E SOUZA"/>
        <s v="TAINARA ALVES DE SANTANA"/>
        <s v="THAIS SANTOS DE JESUS"/>
        <s v="WENDEL DA SILVA OLIVEIRA"/>
        <s v="ADIR VASCONCELOS NUNES"/>
        <s v="AMILTON BASTOS FERREIRA"/>
        <s v="ANILTON SOUZA SANTOS"/>
        <s v="CARLOS HUMBERTO CARDOSO FERREIRA"/>
        <s v="EDVALDO MOREIRA SILVA"/>
        <s v="FAGNER DE OLIVEIRA BORGES"/>
        <s v="JACKSON FRANCO DE JESUS"/>
        <s v="JAILSON ALVES DA SILVA"/>
        <s v="JOAO VICTOR SANTOS LOPES"/>
        <s v="JOAO VITOR RODRIGUES NASCIMENTO"/>
        <s v="JORGE DE OLIVEIRA CARDEAL"/>
        <s v="JOSE DOS SANTOS ALVES"/>
        <s v="KENEDY BISPO DE OLIVEIRA"/>
        <s v="LUCAS MARQUES ROCHA"/>
        <s v="MAILSON FERREIRA PINHO DE MATTOS"/>
        <s v="RIAN CARDOSO SANTOS"/>
        <s v="RODRIGO ALVES DA SILVA"/>
        <s v="ABILIO ANTONIO BATISTA TEIXEIRA"/>
        <s v="ADALBERTO DE JESUS SILVA"/>
        <s v="ALAN BARRETO DOS SANTOS SANTOS"/>
        <s v="ALAN JUNIO DA SILVA"/>
        <s v="ALBINO LACERDA DA SILVA"/>
        <s v="ALEXANDRO TRAJANO DA SILVA"/>
        <s v="ALISON SILVA DE OLIVEIRA"/>
        <s v="ALOIZIO DOS SANTOS RAMOS"/>
        <s v="ALTAIR JOSE SANTOS BATISTA"/>
        <s v="ANDERSON PIRES COSTA"/>
        <s v="ANDRE LUIS DOS SANTOS ROSA"/>
        <s v="ANDREY GOMES ARAGAO SILVA"/>
        <s v="ANTONIO CARLOS FERREIRA LEITE"/>
        <s v="ANTONIO CARLOS MOTA"/>
        <s v="ANTONIO MARCOS OLIVEIRA DA SILVA"/>
        <s v="ARIEL OLIVEIRA FERREIRA"/>
        <s v="BRUNO DA SILVA SANTOS"/>
        <s v="CAIQUE BASTOS DE SOUZA"/>
        <s v="CHRISTYAN DOS SANTOS OLIVEIRA PINHO"/>
        <s v="CLAUDIO BATISTA SILVA DANTAS"/>
        <s v="CLAUDIO JOSE ERNESTO EHL"/>
        <s v="COSME MAIA DOS SANTOS"/>
        <s v="DANIEL DOS SANTOS PINHEIRO"/>
        <s v="DANIELLE BARROS PEREIRA"/>
        <s v="DAVI DA SILVA SOARES"/>
        <s v="DIEGO DE SOUSA FARIAS"/>
        <s v="EDENILSON CERQUEIRA NOVAIS"/>
        <s v="EDGLEY MACIEL DA SILVA BARROS"/>
        <s v="EDMAR JERONIMO DA SILVA ARAUJO"/>
        <s v="EDUARDO SILVA DE OLIVEIRA FILHO"/>
        <s v="EDVALDO DE SOUZA TELES FILHO"/>
        <s v="ELENILSON PAIXAO DOS SANTOS"/>
        <s v="ELIAN SILVA DE SOUZA"/>
        <s v="ELIANA SILVA RODRIGUES"/>
        <s v="EMERSON SANTOS CONCEICAO"/>
        <s v="ETEVALDO BARBOSA DOS SANTOS"/>
        <s v="FABIO DA CRUZ SANTOS"/>
        <s v="FABIO FALCAO DA SILVA"/>
        <s v="FELIPE SALGADO DA SILVA"/>
        <s v="FLAVIO DOS SANTOS ALVES"/>
        <s v="GABRIEL OLIVEIRA DOS SANTOS"/>
        <s v="GABRIELA CERQUEIRA SOUZA"/>
        <s v="GILBERTO ALVES DE SOUSA"/>
        <s v="GILSON PEREIRA VITORIO"/>
        <s v="GILTON LUIZ SANTOS DE MATOS"/>
        <s v="GILVAN DOS SANTOS"/>
        <s v="GIOVANI DE JESUS SANTOS"/>
        <s v="HILMARA SANTOS LOPES"/>
        <s v="HUGO ALVES DOS SANTOS"/>
        <s v="IAN ESTRELA COELHO"/>
        <s v="ICARO COSTA LIMA"/>
        <s v="IOLANDA RAQUEL GARCIA COSTA"/>
        <s v="IRACEMA BRAGA DE JESUS FONSECA"/>
        <s v="ISRAEL CUSTODIA PEDREIRA"/>
        <s v="JADSON SANTANA RODRIGUES"/>
        <s v="JAILSON DOS SANTOS"/>
        <s v="JAILTON SANTOS DE SOUSA"/>
        <s v="JANIEL DO ROSARIO RIBEIRO"/>
        <s v="JANIELLE MOTA MARTINS"/>
        <s v="JEFERSON SANTOS LEAL"/>
        <s v="JENILSON SILVA DE SOUZA"/>
        <s v="JHONE SANTOS SANTIAGO"/>
        <s v="JOAO EUDES SANTA BARBARA ARAUJO"/>
        <s v="JOICE MARIA DOS SANTOS"/>
        <s v="JONATHAN CIRO CONCEICAO DE LIMA"/>
        <s v="JORGE MORENO DA SILVA"/>
        <s v="JORGE WELINGTON PEREIRA LOPES JUNIOR"/>
        <s v="JOSE CLEIDSON TEIXEIRA DA SILVA"/>
        <s v="JOSE DOS SANTOS JUNIOR"/>
        <s v="JOSE DOS SANTOS OLIVEIRA"/>
        <s v="JOSE EDUARDO SANTANA DE CARVALHO"/>
        <s v="JOSE MILTON CARVALHO FERREIRA"/>
        <s v="JOSE RICARDO SANTOS PORTUGAL"/>
        <s v="JOSE VENANCIO DE JESUS MACHADO"/>
        <s v="JOSE WILSON GOMES DA SILVA"/>
        <s v="JOSIANO COSTA DA SILVA"/>
        <s v="JOSIMAR OLIVEIRA SANTOS"/>
        <s v="JUCELIA DE JESUS MARQUES"/>
        <s v="JULIETE DE SOUZA SANTOS"/>
        <s v="JUNICLECIO SANTANA DIAS DOS SANTOS"/>
        <s v="KAIQUE MACHADO DA SILVA"/>
        <s v="KEYLA BORGES SILVA"/>
        <s v="LEANDRO DO NASCIMENTO MENEZES"/>
        <s v="LENINE MATEUS BATISTA MARTINS"/>
        <s v="LEONARDO DO AMOR DIVINO RAMOS"/>
        <s v="LEONARDO FALCONERY SERAFIM"/>
        <s v="LILIA OLIVEIRA DOS SANTOS"/>
        <s v="LOURISVALDO CARVALHO FERREIRA"/>
        <s v="LUAN DOS SANTOS OLIVEIRA"/>
        <s v="LUCAS SOARES DOS SANTOS"/>
        <s v="LUCIANO DIAS DO CARMO"/>
        <s v="LUCIANO DOS SANTOS OLIVEIRA"/>
        <s v="LUCIANO SOUZA ALVES BEZERRA"/>
        <s v="LUCIO CARLOS DOS SANTOS NASCIMENTO"/>
        <s v="LUIS ANTONIO DE OLIVEIRA SANTOS"/>
        <s v="LUIS SILVA DE JESUS"/>
        <s v="MAICO COELHO SANTOS"/>
        <s v="MANOEL CERQUEIRA DOS SANTOS"/>
        <s v="MARCIA CLEDINA FERNANDES DE PAIVA"/>
        <s v="MARCIO ROSA DA SILVA"/>
        <s v="MARCOS CARNEIRO DE OLIVEIRA"/>
        <s v="MARCOS MACHADO TORRES"/>
        <s v="MATHEUS JOSE OLIVEIRA DE JESUS"/>
        <s v="MAURICIO DE JESUS SANTOS"/>
        <s v="MAURO GAVAZZONI"/>
        <s v="MEIRE REIJANE VITORIO DE JESUS"/>
        <s v="MOISES NEVES DOS SANTOS"/>
        <s v="NATHALIA CARDOSO BATISTA PEREIRA"/>
        <s v="NESTOR GUEDES DE MOURA JUNIOR"/>
        <s v="NILTON SOUZA SANTOS"/>
        <s v="OLAYR LOPES REBOUCAS"/>
        <s v="PABIANE BATISTA DE SOUZA DE SANTIAGO"/>
        <s v="PAULO HENRIQUE CORDEIRO DO CARMO"/>
        <s v="PAULO PHELIPE DA SILVA FERREIRA"/>
        <s v="PAULO SERGIO TEIXEIRA DE JESUS"/>
        <s v="PAULO WAKSON SOUZA SANTANA"/>
        <s v="POLIANE ARAUJO MELO"/>
        <s v="RAFAEL MENDES OLIVEIRA"/>
        <s v="RAFAEL PEREIRA DA SILVA"/>
        <s v="RAFAEL RODRIGUES DA SILVA SODRE"/>
        <s v="RAIAN LOPES DE OLIVEIRA"/>
        <s v="RALF RABELLO SILVA BOMFIM"/>
        <s v="REBECA THAYSE LEAL SALUSTIANO"/>
        <s v="REINIVALDO DE JESUS"/>
        <s v="RENATO BRITO DE JESUS JUNIOR"/>
        <s v="ROBSON DA CRUZ DE JESUS LIMA"/>
        <s v="ROQUE TEIXEIRA DOS SANTOS"/>
        <s v="ROSENIR DO NASCIMENTO SILVA ROSENDO"/>
        <s v="ROSIENE VIEIRA SILVA"/>
        <s v="RYAN VICTOR PEREIRA MOTA"/>
        <s v="SARAJANE MARIA DA SILVA"/>
        <s v="SIMONE SILVA PIMENTEL"/>
        <s v="TACIO PINTO BATISTA"/>
        <s v="TAMIRES GOMES BORGES ALVES"/>
        <s v="THIAGO SILVA SANTOS"/>
        <s v="TIAGO SOUZA BEZERRA"/>
        <s v="VALDEILSON GOMES DE SANTIAGO"/>
        <s v="VALDIR DE CARVALHO PINHEIRO"/>
        <s v="VANDA DOS SANTOS SOUZA"/>
        <s v="VANESSA RIBEIRO SANTOS"/>
        <s v="VERA HELENA MOREIRA"/>
        <s v="VERONICA SILVA SANTOS"/>
        <s v="VINICIO SILVA PEREIRA"/>
        <s v="YAN VITOR RIOS MACHADO"/>
        <s v="ADAILTON DA ANUNCIACAO SANTOS CARVALHO"/>
        <s v="ANTONIEL SANTOS DE JESUS"/>
        <s v="ANTONIO CERQUEIRA SANTOS"/>
        <s v="ANTONIO DA SILVA OLIVEIRA"/>
        <s v="ANTONIO DE ALMEIDA SANTIAGO"/>
        <s v="ANTONIO JORGE LIMA SOUZA"/>
        <s v="ASSIS DOS SANTOS OLIVEIRA"/>
        <s v="BRENO LIMA DOS SANTOS"/>
        <s v="CARLOS ALBERTO SOUZA PAIM"/>
        <s v="DALVA MARIA DOS SANTOS OLIVEIRA"/>
        <s v="DIEGO SANTOS RODRIGUES"/>
        <s v="EDILSON DE JESUS SOARES"/>
        <s v="EDSON LACERDA DOS SANTOS"/>
        <s v="ELIZANGELA RIBEIRO DE JESUS"/>
        <s v="FELIPE PORTO BRANDAO"/>
        <s v="FRANCISCO SANTANA DA CONCEICAO"/>
        <s v="FRANCISCO SILVA DA CONCEICAO"/>
        <s v="HELENITO NASCIMENTO BASTOS"/>
        <s v="IMEZIO TELES DOS SANTOS"/>
        <s v="JAQUELINE BASTOS SILVA CARVALHO"/>
        <s v="JERSON DOS SANTOS EVANGELISTA"/>
        <s v="JOILSON SANTOS FERNANDES"/>
        <s v="JORGE DA SILVA GAMA"/>
        <s v="JOSELITO SOUZA DE OLIVEIRA"/>
        <s v="JOSENILZA RODRIGUES DO ROSARIO"/>
        <s v="JOSEVAL DOS SANTOS"/>
        <s v="JUCILENE DOS SANTOS"/>
        <s v="LAERCIO RIBEIRO"/>
        <s v="LEANDRO ALVES SOARES"/>
        <s v="LEONILSON DOS SANTOS BENTO"/>
        <s v="LUCAS OLIVEIRA DE JESUS"/>
        <s v="LUCAS REIS MATOS"/>
        <s v="MARIA REGINA MARTINS"/>
        <s v="NELSON DO NASCIMENTO BIZERRA"/>
        <s v="PAULO ROBERTO FONTES ARGOLLO DE BRITTO JUNIOR"/>
        <s v="SANDRA DOS SANTOS GOUVEIA"/>
        <s v="SANDRO LUAN SALES DE OLIVEIRA REIS"/>
        <s v="UBIRACI MACHADO DOS SANTOS"/>
        <s v="VIVALDO DA ANUNCIACAO OLIVEIRA"/>
        <s v="WESLEY ALAN ARAUJO DE SANTANA"/>
        <s v="ANA CAROLINA DIAS DA SILVA"/>
        <s v="CRISTIANE PIEDADE DE JESUS LIMA"/>
        <s v="IASMIN JULIAO SOUZA"/>
        <s v="JESSIANE NASCIMENTO MACHADO"/>
        <s v="LEONARDO JOEL SANTOS"/>
        <s v="MARCELLY DOS SANTOS MERCES"/>
        <s v="WELLINGTON APARECIDO ROCHA BALBO"/>
        <s v="ANA FLAVIA OLIVEIRA PEREIRA"/>
        <s v="ARILANE MARQUES DOS SANTOS"/>
        <s v="EDNEIDE MARQUES ALVES AMARAL"/>
        <s v="FRANCILEIDE MARTA DE JESUS BESSA"/>
        <s v="GABRIEL COSTA SANTOS"/>
        <s v="GIRLANE PAIXAO DOS SANTOS"/>
        <s v="JADCLEIA DE SOUZA XAVIER"/>
        <s v="KATIA COUTO CARDOSO"/>
        <s v="KELLY FORTALESA RODRIGUES LIMA"/>
        <s v="LAIS SOUZA MACHADO TEIXEIRA"/>
        <s v="MARILIA LIMA CONCEICAO"/>
        <s v="ROBSON DE OLIVEIRA CARVALHO JUNIOR"/>
        <s v="SAMUEL BRITO DA SILVA"/>
        <s v="THAIS SOUZA AMORIM"/>
        <s v="THAISE SOUZA AMORIM"/>
        <s v="VANESSA DIAS DE JESUS SOUZA"/>
        <s v="AILTON DA CRUZ FREITAS"/>
        <s v="ALFREDO MARQUES CERQUEIRA SANTANA"/>
        <s v="AMILTON OLIVEIRA BOAVENTURA"/>
        <s v="ANSELMO ARAUJO DOS SANTOS"/>
        <s v="ANTONIO JOSE SANTOS SILVA"/>
        <s v="ANTONIO RODRIGO PINTO DE BRITO"/>
        <s v="ANTONIO WILSON ALMEIDA DA SILVA"/>
        <s v="ARTHUR VINICIUS MANSANI AMORIM"/>
        <s v="BRUNO ALVES SILVA GUSMAO"/>
        <s v="CARLIANE DAS VIRGENS ALBERTO"/>
        <s v="DANIEL SOUZA BOAVENTURA"/>
        <s v="DAVID DE OLIVEIRA SENA"/>
        <s v="DIOGO FERREIRA DE OLIVEIRA NETO"/>
        <s v="DIOVANE ARAUJO DOS SANTOS"/>
        <s v="EDIVALDO DOS SANTOS SILVA"/>
        <s v="EDIVANDO SANTOS DE JESUS"/>
        <s v="EDMILSON OLIVEIRA BISPO"/>
        <s v="ELENILTON NEVES DOS SANTOS"/>
        <s v="ELIZEU SANTOS ALVES"/>
        <s v="ERIVALDO MESSIAS DOS SANTOS"/>
        <s v="FABIO SEVERINO DA SILVA ALVES"/>
        <s v="FERNANDO PEREIRA OLIVEIRA"/>
        <s v="FLAVIO BARBOZA REIS"/>
        <s v="JAIR RAMOS SILVA"/>
        <s v="JAIRTON MERCES DOS SANTOS"/>
        <s v="JAIZA DOS SANTOS DE JESUS"/>
        <s v="JANUARIO DE JESUS"/>
        <s v="JEANDSON SANTOS E SANTOS"/>
        <s v="JEREMIAS GOMES FERREIRA"/>
        <s v="JOAN ROBERTY ALVES DOS SANTOS"/>
        <s v="JOANDERSON SILVA VIEIRA"/>
        <s v="JOAO LIMA DE QUEIROZ"/>
        <s v="JORGE BARRETO DOS SANTOS"/>
        <s v="JOSE CARLOS PEREIRA DA CRUZ"/>
        <s v="JOSE RAIMUNDO DE JESUS OLIVEIRA"/>
        <s v="JOSEVALDO DE ALMEIDA SANTOS"/>
        <s v="JOSIANE DE JESUS"/>
        <s v="JUCELINO PEREIRA LOPES"/>
        <s v="LEANDRO DE ALMEIDA DOS SANTOS"/>
        <s v="LUIS SANTOS GONCALVES"/>
        <s v="LUIZ FELIPE OLIVEIRA LIMA"/>
        <s v="MANOEL DE JESUS"/>
        <s v="MANOEL PEREIRA DOS SANTOS"/>
        <s v="MATEUS DE JESUS SOUZA"/>
        <s v="MOISES SANTOS DE BRITO"/>
        <s v="NATANAEL DE OLIVEIRA CRUZ"/>
        <s v="OSVALDO MOREIRA DOS SANTOS"/>
        <s v="OTAVIO DE JESUS TEIXEIRA"/>
        <s v="PEDRO HENRIQUE LOPES OLIVEIRA"/>
        <s v="RAIMUNDO LIMA DOS SANTOS"/>
        <s v="REGINALDO DA CONCEICAO ESTEVOS"/>
        <s v="RENILTON DE LIMA GOMES"/>
        <s v="ROBSON OLIVEIRA DE SOUZA"/>
        <s v="ROGERIO DA SILVA SANTOS"/>
        <s v="SILAS DE SOUZA ALVES"/>
        <s v="SILIO SOARES MONTEIRO"/>
        <s v="UBIRATAN DOS SANTOS MENDES"/>
        <s v="VALERIANO DE JESUS ALVES"/>
        <s v="VALTER FRANCISCO DE JESUS SILVA"/>
        <s v="ADAILTON ALMEIDA AMORIM"/>
        <s v="ADRIANA DE JESUS LACERDA COSTA"/>
        <s v="ALEX MENEZES DA SILVA"/>
        <s v="ALEXANDRE SANTOS DA SILVA"/>
        <s v="ALINE DA SILVA CARNEIRO"/>
        <s v="ANA LEIDE VIEIRA DOS SANTOS"/>
        <s v="ANA MARIA DE JESUS SANTOS"/>
        <s v="ANDRE DILSON PEREIRA DE SANTANA"/>
        <s v="ANTONIO CARLOS ANDRADE ALMEIDA"/>
        <s v="BERNARDINO DE JESUS MIRANDA"/>
        <s v="BRENDA EMANUELLE DE SOUZA RIBEIRO"/>
        <s v="BRENO FERREIRA CARDOSO"/>
        <s v="CARLOS ANDRE PEREIRA GOMES PORTO"/>
        <s v="CARLOS DE JESUS DOS SANTOS"/>
        <s v="CELESTE BORGES ARAUJO DOS SANTOS"/>
        <s v="CLEITON DOS SANTOS CRUZ"/>
        <s v="CRISPINIANA DE JESUS SANTOS"/>
        <s v="CRISPINIANA OLIVEIRA DA SILVA"/>
        <s v="DAVIDSON PATRICK OLIVEIRA ALBUQUERQUE"/>
        <s v="EDIELSON GAMA DE SOUZA"/>
        <s v="EDILMA DOS SANTOS BRITO"/>
        <s v="EDILSON DOS RAMOS"/>
        <s v="EDISON DE JESUS SANTOS"/>
        <s v="EDIVAN DE SOUZA SILVA"/>
        <s v="ELIANA SILVA DE ARAUJO"/>
        <s v="ELIAS DE SOUZA NASCIMENTO"/>
        <s v="ELIZETE SILVA AMORIM"/>
        <s v="EMERSON JOAQUIM COSTA DE CARVALHO"/>
        <s v="EMERSON SOUZA SILVA"/>
        <s v="ERON SANTOS PEREIRA"/>
        <s v="FRANCISCO ALVES DA SILVA NETO"/>
        <s v="GABRIEL DAS VIRGENS OLIVEIRA"/>
        <s v="GABRIELA DO NASCIMENTO RODRIGUES"/>
        <s v="GERLANE DOS SANTOS DE JESUS"/>
        <s v="HIAGO ALISSON OLIVEIRA PEREIRA"/>
        <s v="HIANDRA EVILIN SANTOS SILVA"/>
        <s v="IAN BASTOS DE OLIVEIRA"/>
        <s v="ISAQUE DOS SANTOS SILVA CONCEICAO"/>
        <s v="JAIRCLEDISON DOS SANTOS PORTO"/>
        <s v="JENIARIA REIS RIBEIRO"/>
        <s v="JOABY BLOIS GOMES"/>
        <s v="JOADSON DE JESUS OLIVEIRA"/>
        <s v="JOILSON COUTINHO VIRGINIO"/>
        <s v="JONAS DOS SANTOS ALVES"/>
        <s v="JUANINA DA CRUZ FREITAS"/>
        <s v="JUCI DE JESUS COSTA RIBEIRO"/>
        <s v="JULIANA DE JESUS LACERDA COSTA"/>
        <s v="JULIO RODRIGUES DA SILVA"/>
        <s v="JURANDI ALVES PEREIRA"/>
        <s v="KAIO FERREIRA DOS SANTOS"/>
        <s v="KARINA DE JESUS SANTOS"/>
        <s v="LAINA THAILINE CONCEICAO COSTA"/>
        <s v="LEIDIANE DE SOUSA SANTOS"/>
        <s v="LEIDIVAN MATOS DONA"/>
        <s v="LILIA PORTO DOS SANTOS"/>
        <s v="LUAN CERQUEIRA DOS SANTOS"/>
        <s v="LUAN SANTOS DE JESUS"/>
        <s v="LUANA SANTOS DE JESUS"/>
        <s v="LUCIANA SOUZA SANTOS"/>
        <s v="LUCIANO VILAS BOAS SANTANA"/>
        <s v="LUCIENE CORREIA SANTOS"/>
        <s v="LUCIEUDA DE OLIVEIRA RODRIGUES"/>
        <s v="LUCINEIDE DE JESUS FERREIRA"/>
        <s v="LUIS GUSTAVO ALMEIDA DOS SANTOS"/>
        <s v="LUIZ FONSECA CARNEIRO"/>
        <s v="LUZINALVA ARAUJO DOS SANTOS"/>
        <s v="MARCIENE DE JESUS SANTOS"/>
        <s v="MARCIO JESUS DA SILVA"/>
        <s v="MARIA ANGELA BORGES DOS SANTOS"/>
        <s v="MARIA DA CONCEICAO DE JESUS MOREIRA"/>
        <s v="MARIA DE LOURDES GONZAGA DE JESUS"/>
        <s v="MARIA DO SOCORRO LIMA"/>
        <s v="MARIA HELENA SILVA SANTOS"/>
        <s v="MARIA RITA DOS SANTOS REIS"/>
        <s v="MARILENE DE SOUZA OLIVEIRA ALVES"/>
        <s v="MARINALVA TEIXEIRA DE JESUS"/>
        <s v="MARIO DE OLIVEIRA GOMES"/>
        <s v="MARIVALDO ROCHA DOS SANTOS"/>
        <s v="MATEUS FERREIRA MOREIRA"/>
        <s v="MAURICIO BRITO DO NASCIMENTO"/>
        <s v="NAIANE SANTOS DE SANTANA"/>
        <s v="NATIELE DE JESUS MOREIRA"/>
        <s v="NILZETE FIGUEIREDO DA SILVA"/>
        <s v="NILZETE SANTOS DE JESUS"/>
        <s v="NORBERTO DA SILVA OLIVEIRA"/>
        <s v="OTAIANE FREITAS TEIXEIRA"/>
        <s v="PATRICIA AMORIM PINHEIRO SANTOS"/>
        <s v="PAULO RICARDO SILVA DE OLIVEIRA"/>
        <s v="RAFAEL DE JESUS COSTA RIBEIRO REIS"/>
        <s v="RAMON CARDOSO DOS SANTOS"/>
        <s v="RANIELLI MIKAELLA DA SILVA RIBEIRO"/>
        <s v="RAQUEL SILVA DE SOUZA OLIVEIRA"/>
        <s v="REGINA OLIVEIRA DOS SANTOS"/>
        <s v="ROSANGELA DO ESPIRITO SANTO BORGES"/>
        <s v="ROSISLANE DE SOUZA MARQUES"/>
        <s v="SILVIA MARIA BASTOS DOS SANTOS"/>
        <s v="SIMONE SANTANA DE JESUS"/>
        <s v="TATIANE AMORIM DOS SANTOS"/>
        <s v="TELMA RIBEIRO COSTA"/>
        <s v="VAGNER DE JESUS FERREIRA"/>
        <s v="VALMIR OLIVEIRA DOS SANTOS"/>
        <s v="VINICIUS OLIVEIRA ARAUJO"/>
        <s v="ALANDA DE JESUS RIBEIRO"/>
        <s v="ANA CAROLINE FERREIRA ALVES"/>
        <s v="CARLOS EDUARDO SILVA DE OLIVEIRA"/>
        <s v="CESAR AUGUSTO LOPES DOS SANTOS"/>
        <s v="HOSANA DE JESUS SILVA"/>
        <s v="JOSE ANTONIO DA SILVA"/>
        <s v="JOSEVALDO DIAS DO CARMO"/>
        <s v="LUCITANIA DA CRUZ CERQUEIRA SANTOS"/>
        <s v="LUCIVALDO DOS SANTOS LIMA"/>
        <s v="MARISA RIBEIRO DA CRUZ"/>
        <s v="MATHEUS SANTOS DA SILVA"/>
        <s v="PRISCILA RABELLO SILVA BOMFIM"/>
        <s v="ROSANE PEREIRA SOUZA VENAS"/>
        <s v="ROSELI DO ESPIRITO SANTO BORGES OLIVEIRA"/>
        <s v="VITORIANO BISPO DOS SANTOS FILHO"/>
      </sharedItems>
    </cacheField>
    <cacheField name="Column6" numFmtId="0">
      <sharedItems/>
    </cacheField>
    <cacheField name="SETOR" numFmtId="0">
      <sharedItems count="27">
        <s v="ALMOXARIFADO"/>
        <s v="ESCRITORIO"/>
        <s v="ESTOQUE"/>
        <s v="VENDAS SSA"/>
        <s v="TRANSPORTE DE MERCADORIAS FILIAL"/>
        <s v="EXPEDICAO"/>
        <s v="VENDAS"/>
        <s v="TRANSPORTE DE MERCADORIAS"/>
        <s v="PASTEURIZACAO"/>
        <s v="ENTAMBORAMENTO"/>
        <s v="EXTRACAO"/>
        <s v="LAVAGEM E SELECAO"/>
        <s v="FILIAL"/>
        <s v="LABORATORIO"/>
        <s v="LIMPEZA"/>
        <s v="UTILIDADES"/>
        <s v="MANUTENCAO"/>
        <s v="OFICINA DE TAMBOR"/>
        <s v="XAROPARIA"/>
        <s v="PRODUCAO DE POLPA"/>
        <s v="PRODUCAO POLPA ASSISTENCIA"/>
        <s v="PRODUCAO POLPA QUILO ASSISTENCIA"/>
        <s v="PRODUCAO"/>
        <s v="PRODUCAO DE BEBIDA MISTA"/>
        <s v="PRODUCAO DE POLPA QUILO"/>
        <s v="REFEITORIO"/>
        <s v="PORTARIA/VIGILANCIA"/>
      </sharedItems>
    </cacheField>
    <cacheField name="LISTA PERTENCENTE" numFmtId="0">
      <sharedItems count="10">
        <s v="ALMOXARIFADO"/>
        <s v="ESCRITORIO"/>
        <s v="ESTOQUE"/>
        <s v="EXPEDIÇÃO"/>
        <s v="EXTRAÇÃO"/>
        <s v="FILIAL"/>
        <s v="LABORATORIO"/>
        <s v="MANUTENÇÃO"/>
        <s v="PRODUÇÃO"/>
        <s v="REFEITORIO"/>
      </sharedItems>
    </cacheField>
    <cacheField name="DISTRIBUIÇÃO POLPA" numFmtId="0">
      <sharedItems count="2">
        <s v="FABRICA"/>
        <s v="EXPEDIÇÃO"/>
      </sharedItems>
    </cacheField>
    <cacheField name="CHAVE DE ACESSO" numFmtId="0">
      <sharedItems/>
    </cacheField>
    <cacheField name="Column7" numFmtId="0">
      <sharedItems containsSemiMixedTypes="0" containsString="0" containsNumber="1" containsInteger="1" minValue="1" maxValue="1"/>
    </cacheField>
    <cacheField name="Column5" numFmtId="0">
      <sharedItems/>
    </cacheField>
    <cacheField name="CONTADOR" numFmtId="0">
      <sharedItems containsSemiMixedTypes="0" containsString="0" containsNumber="1" containsInteger="1" minValue="1" maxValue="144" count="14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</sharedItems>
    </cacheField>
  </cacheFields>
  <extLst>
    <ext xmlns:x14="http://schemas.microsoft.com/office/spreadsheetml/2009/9/main" uri="{725AE2AE-9491-48be-B2B4-4EB974FC3084}">
      <x14:pivotCacheDefinition pivotCacheId="1458252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x v="0"/>
    <s v="ATIVO"/>
    <x v="0"/>
    <x v="0"/>
    <x v="0"/>
    <s v="05040 - ARILSON DE OLIVEIRA LOPES"/>
    <n v="1"/>
    <s v="15/03/2021"/>
    <x v="0"/>
  </r>
  <r>
    <x v="1"/>
    <x v="1"/>
    <s v="ATIVO"/>
    <x v="0"/>
    <x v="0"/>
    <x v="0"/>
    <s v="07011 - BRENDO WANDERSON DE SOUZA OLIVEIRA SANTOS"/>
    <n v="1"/>
    <s v="08/12/2022"/>
    <x v="1"/>
  </r>
  <r>
    <x v="2"/>
    <x v="2"/>
    <s v="ATIVO"/>
    <x v="0"/>
    <x v="0"/>
    <x v="0"/>
    <s v="05028 - EMESON DE JESUS OLIVEIRA"/>
    <n v="1"/>
    <s v="18/01/2021"/>
    <x v="2"/>
  </r>
  <r>
    <x v="3"/>
    <x v="3"/>
    <s v="ATIVO"/>
    <x v="0"/>
    <x v="0"/>
    <x v="0"/>
    <s v="07146 - ESPEDITO KAUAN DOS SANTOS DOS SANTOS"/>
    <n v="1"/>
    <s v="29/04/2024"/>
    <x v="3"/>
  </r>
  <r>
    <x v="4"/>
    <x v="4"/>
    <s v="ATIVO"/>
    <x v="0"/>
    <x v="0"/>
    <x v="0"/>
    <s v="05003 - OTAVIO RODRIGO FREITAS TEIXEIRA"/>
    <n v="1"/>
    <s v="24/07/2020"/>
    <x v="4"/>
  </r>
  <r>
    <x v="5"/>
    <x v="5"/>
    <s v="ATIVO"/>
    <x v="0"/>
    <x v="0"/>
    <x v="0"/>
    <s v="07139 - RAILAN SOUZA GONCALVES"/>
    <n v="1"/>
    <s v="24/04/2024"/>
    <x v="5"/>
  </r>
  <r>
    <x v="6"/>
    <x v="6"/>
    <s v="ATIVO"/>
    <x v="0"/>
    <x v="0"/>
    <x v="0"/>
    <s v="07140 - RONALD SANTOS OLIVEIRA"/>
    <n v="1"/>
    <s v="24/04/2024"/>
    <x v="6"/>
  </r>
  <r>
    <x v="7"/>
    <x v="7"/>
    <s v="ATIVO"/>
    <x v="1"/>
    <x v="1"/>
    <x v="1"/>
    <s v="04189 - ADRIANA DE LIMA SOUSA SILVA"/>
    <n v="1"/>
    <s v="21/01/2013"/>
    <x v="0"/>
  </r>
  <r>
    <x v="8"/>
    <x v="8"/>
    <s v="ATIVO"/>
    <x v="1"/>
    <x v="1"/>
    <x v="1"/>
    <s v="07246 - BRUNO BATISTA GUARDIANO SANTOS"/>
    <n v="1"/>
    <s v="15/05/2025"/>
    <x v="1"/>
  </r>
  <r>
    <x v="9"/>
    <x v="9"/>
    <s v="ATIVO"/>
    <x v="1"/>
    <x v="1"/>
    <x v="1"/>
    <s v="07234 - CLEITON BRITO MACEDO"/>
    <n v="1"/>
    <s v="28/04/2025"/>
    <x v="2"/>
  </r>
  <r>
    <x v="10"/>
    <x v="10"/>
    <s v="ATIVO"/>
    <x v="1"/>
    <x v="1"/>
    <x v="1"/>
    <s v="07236 - DANIELLY DOS SANTOS BASTOS"/>
    <n v="1"/>
    <s v="28/04/2025"/>
    <x v="3"/>
  </r>
  <r>
    <x v="11"/>
    <x v="11"/>
    <s v="ATIVO"/>
    <x v="1"/>
    <x v="1"/>
    <x v="1"/>
    <s v="03220 - DANILO BORGES MASCARENHAS"/>
    <n v="1"/>
    <s v="16/02/2009"/>
    <x v="4"/>
  </r>
  <r>
    <x v="12"/>
    <x v="12"/>
    <s v="ATIVO"/>
    <x v="1"/>
    <x v="1"/>
    <x v="1"/>
    <s v="04932 - DHULHIANY BARBOSA LIMA"/>
    <n v="1"/>
    <s v="25/04/2019"/>
    <x v="5"/>
  </r>
  <r>
    <x v="13"/>
    <x v="13"/>
    <s v="ATIVO"/>
    <x v="1"/>
    <x v="1"/>
    <x v="1"/>
    <s v="01246 - ELIANA DE ARAUJO SILVA"/>
    <n v="1"/>
    <s v="14/10/1998"/>
    <x v="6"/>
  </r>
  <r>
    <x v="14"/>
    <x v="14"/>
    <s v="ATIVO"/>
    <x v="1"/>
    <x v="1"/>
    <x v="1"/>
    <s v="07142 - GABRIEL BORGES DE SANTANA"/>
    <n v="1"/>
    <s v="29/04/2024"/>
    <x v="7"/>
  </r>
  <r>
    <x v="15"/>
    <x v="15"/>
    <s v="ATIVO"/>
    <x v="1"/>
    <x v="1"/>
    <x v="1"/>
    <s v="07235 - GUILHERME CERQUEIRA DIAS"/>
    <n v="1"/>
    <s v="28/04/2025"/>
    <x v="8"/>
  </r>
  <r>
    <x v="16"/>
    <x v="16"/>
    <s v="ATIVO"/>
    <x v="1"/>
    <x v="1"/>
    <x v="1"/>
    <s v="03896 - HAMILTON RIBEIRO DE OLIVEIRA"/>
    <n v="1"/>
    <s v="17/10/2011"/>
    <x v="9"/>
  </r>
  <r>
    <x v="17"/>
    <x v="17"/>
    <s v="ATIVO"/>
    <x v="1"/>
    <x v="1"/>
    <x v="1"/>
    <s v="03506 - HERICA MOTA SCHNEIDER"/>
    <n v="1"/>
    <s v="10/05/2010"/>
    <x v="10"/>
  </r>
  <r>
    <x v="18"/>
    <x v="18"/>
    <s v="ATIVO"/>
    <x v="1"/>
    <x v="1"/>
    <x v="1"/>
    <s v="04665 - JACIARA BATISTA DE MENEZES"/>
    <n v="1"/>
    <s v="13/06/2016"/>
    <x v="11"/>
  </r>
  <r>
    <x v="19"/>
    <x v="19"/>
    <s v="ATIVO"/>
    <x v="1"/>
    <x v="1"/>
    <x v="1"/>
    <s v="03974 - KARINE OLIVEIRA DOS SANTOS LOBO"/>
    <n v="1"/>
    <s v="18/04/2012"/>
    <x v="12"/>
  </r>
  <r>
    <x v="20"/>
    <x v="20"/>
    <s v="ATIVO"/>
    <x v="1"/>
    <x v="1"/>
    <x v="1"/>
    <s v="07239 - KAUANNE FRANTINY ARAUJO DE OLIVEIRA"/>
    <n v="1"/>
    <s v="28/04/2025"/>
    <x v="13"/>
  </r>
  <r>
    <x v="21"/>
    <x v="21"/>
    <s v="ATIVO"/>
    <x v="1"/>
    <x v="1"/>
    <x v="1"/>
    <s v="03758 - KEILA FERREIRA SANTANA VIEIRA"/>
    <n v="1"/>
    <s v="24/05/2011"/>
    <x v="14"/>
  </r>
  <r>
    <x v="22"/>
    <x v="22"/>
    <s v="ATIVO"/>
    <x v="1"/>
    <x v="1"/>
    <x v="1"/>
    <s v="07025 - LAISA CERQUEIRA DOS SANTOS"/>
    <n v="1"/>
    <s v="30/01/2023"/>
    <x v="15"/>
  </r>
  <r>
    <x v="23"/>
    <x v="23"/>
    <s v="ATIVO"/>
    <x v="1"/>
    <x v="1"/>
    <x v="1"/>
    <s v="04914 - LAIZE EVELLEN DA SILVA COUTO"/>
    <n v="1"/>
    <s v="12/12/2018"/>
    <x v="16"/>
  </r>
  <r>
    <x v="24"/>
    <x v="24"/>
    <s v="ATIVO"/>
    <x v="1"/>
    <x v="1"/>
    <x v="1"/>
    <s v="07143 - LORENA BORGES DE OLIVEIRA"/>
    <n v="1"/>
    <s v="29/04/2024"/>
    <x v="17"/>
  </r>
  <r>
    <x v="25"/>
    <x v="25"/>
    <s v="ATIVO"/>
    <x v="1"/>
    <x v="1"/>
    <x v="1"/>
    <s v="04642 - LUCAS VINICIUS DE JESUS MOREIRA"/>
    <n v="1"/>
    <s v="07/01/2016"/>
    <x v="18"/>
  </r>
  <r>
    <x v="26"/>
    <x v="26"/>
    <s v="ATIVO"/>
    <x v="1"/>
    <x v="1"/>
    <x v="1"/>
    <s v="07029 - MAILE SANTANA DA SILVA"/>
    <n v="1"/>
    <s v="24/04/2023"/>
    <x v="19"/>
  </r>
  <r>
    <x v="27"/>
    <x v="27"/>
    <s v="ATIVO"/>
    <x v="1"/>
    <x v="1"/>
    <x v="1"/>
    <s v="04790 - MARCIO MACHADO TORRES"/>
    <n v="1"/>
    <s v="30/08/2018"/>
    <x v="20"/>
  </r>
  <r>
    <x v="28"/>
    <x v="28"/>
    <s v="ATIVO"/>
    <x v="1"/>
    <x v="1"/>
    <x v="1"/>
    <s v="00490 - MARCOS VINICIUS SANTOS MACEDO"/>
    <n v="1"/>
    <s v="15/02/1995"/>
    <x v="21"/>
  </r>
  <r>
    <x v="29"/>
    <x v="29"/>
    <s v="ATIVO"/>
    <x v="1"/>
    <x v="1"/>
    <x v="1"/>
    <s v="07241 - MARIA EDUARDA SILVA FERNANDES"/>
    <n v="1"/>
    <s v="28/04/2025"/>
    <x v="22"/>
  </r>
  <r>
    <x v="30"/>
    <x v="30"/>
    <s v="ATIVO"/>
    <x v="1"/>
    <x v="1"/>
    <x v="1"/>
    <s v="05087 - MARIELLE SILVA SOUZA"/>
    <n v="1"/>
    <s v="07/02/2022"/>
    <x v="23"/>
  </r>
  <r>
    <x v="31"/>
    <x v="31"/>
    <s v="ATIVO"/>
    <x v="1"/>
    <x v="1"/>
    <x v="1"/>
    <s v="07237 - MICHELLE CARNEIRO FERREIRA"/>
    <n v="1"/>
    <s v="28/04/2025"/>
    <x v="24"/>
  </r>
  <r>
    <x v="32"/>
    <x v="32"/>
    <s v="ATIVO"/>
    <x v="1"/>
    <x v="1"/>
    <x v="1"/>
    <s v="07242 - MIRELA VERONICA PIMENTEL CUNHA"/>
    <n v="1"/>
    <s v="28/04/2025"/>
    <x v="25"/>
  </r>
  <r>
    <x v="33"/>
    <x v="33"/>
    <s v="FERIAS"/>
    <x v="1"/>
    <x v="1"/>
    <x v="1"/>
    <s v="04947 - NEIDE DE SANTANA MOREIRA"/>
    <n v="1"/>
    <s v="12/08/2019"/>
    <x v="26"/>
  </r>
  <r>
    <x v="34"/>
    <x v="34"/>
    <s v="ATIVO"/>
    <x v="1"/>
    <x v="1"/>
    <x v="1"/>
    <s v="05089 - RAFAELA TRABUCO DE ARAUJO SILVA"/>
    <n v="1"/>
    <s v="08/03/2022"/>
    <x v="27"/>
  </r>
  <r>
    <x v="35"/>
    <x v="35"/>
    <s v="ATIVO"/>
    <x v="1"/>
    <x v="1"/>
    <x v="1"/>
    <s v="10002 - REINALDO ALMEIDA PORTUGAL"/>
    <n v="1"/>
    <s v="01/11/1990"/>
    <x v="28"/>
  </r>
  <r>
    <x v="36"/>
    <x v="36"/>
    <s v="ATIVO"/>
    <x v="1"/>
    <x v="1"/>
    <x v="1"/>
    <s v="10003 - REINALDO VINICIUS PAIM PORTUGAL"/>
    <n v="1"/>
    <s v="01/12/2000"/>
    <x v="29"/>
  </r>
  <r>
    <x v="37"/>
    <x v="37"/>
    <s v="ATIVO"/>
    <x v="1"/>
    <x v="1"/>
    <x v="1"/>
    <s v="03847 - ROSANGELA BORGES DOS SANTOS"/>
    <n v="1"/>
    <s v="18/08/2011"/>
    <x v="30"/>
  </r>
  <r>
    <x v="38"/>
    <x v="38"/>
    <s v="ATIVO"/>
    <x v="1"/>
    <x v="1"/>
    <x v="1"/>
    <s v="02454 - ROSELY FALCAO BATISTA"/>
    <n v="1"/>
    <s v="01/03/2006"/>
    <x v="31"/>
  </r>
  <r>
    <x v="39"/>
    <x v="39"/>
    <s v="ATIVO"/>
    <x v="1"/>
    <x v="1"/>
    <x v="1"/>
    <s v="03639 - SANDRA MERCIA DE MELO COSTA MASCARENHAS"/>
    <n v="1"/>
    <s v="06/10/2010"/>
    <x v="32"/>
  </r>
  <r>
    <x v="40"/>
    <x v="40"/>
    <s v="ATIVO"/>
    <x v="1"/>
    <x v="1"/>
    <x v="1"/>
    <s v="04469 - SIMONE RIBEIRO DA COSTA"/>
    <n v="1"/>
    <s v="01/08/2014"/>
    <x v="33"/>
  </r>
  <r>
    <x v="41"/>
    <x v="41"/>
    <s v="ATIVO"/>
    <x v="1"/>
    <x v="1"/>
    <x v="1"/>
    <s v="07243 - SINARA DE SOUSA E SOUZA"/>
    <n v="1"/>
    <s v="28/04/2025"/>
    <x v="34"/>
  </r>
  <r>
    <x v="42"/>
    <x v="42"/>
    <s v="ATIVO"/>
    <x v="1"/>
    <x v="1"/>
    <x v="1"/>
    <s v="07152 - TAINARA ALVES DE SANTANA"/>
    <n v="1"/>
    <s v="29/04/2024"/>
    <x v="35"/>
  </r>
  <r>
    <x v="43"/>
    <x v="43"/>
    <s v="ATIVO"/>
    <x v="1"/>
    <x v="1"/>
    <x v="1"/>
    <s v="07149 - THAIS SANTOS DE JESUS"/>
    <n v="1"/>
    <s v="29/04/2024"/>
    <x v="36"/>
  </r>
  <r>
    <x v="44"/>
    <x v="44"/>
    <s v="ATIVO"/>
    <x v="1"/>
    <x v="1"/>
    <x v="1"/>
    <s v="04937 - WENDEL DA SILVA OLIVEIRA"/>
    <n v="1"/>
    <s v="23/05/2019"/>
    <x v="37"/>
  </r>
  <r>
    <x v="45"/>
    <x v="45"/>
    <s v="ATIVO"/>
    <x v="2"/>
    <x v="2"/>
    <x v="0"/>
    <s v="04700 - ADIR VASCONCELOS NUNES"/>
    <n v="1"/>
    <s v="15/12/2016"/>
    <x v="0"/>
  </r>
  <r>
    <x v="46"/>
    <x v="46"/>
    <s v="ATIVO"/>
    <x v="2"/>
    <x v="2"/>
    <x v="0"/>
    <s v="03450 - AMILTON BASTOS FERREIRA"/>
    <n v="1"/>
    <s v="08/02/2010"/>
    <x v="1"/>
  </r>
  <r>
    <x v="47"/>
    <x v="47"/>
    <s v="ATIVO"/>
    <x v="2"/>
    <x v="2"/>
    <x v="0"/>
    <s v="04993 - ANILTON SOUZA SANTOS"/>
    <n v="1"/>
    <s v="13/04/2020"/>
    <x v="2"/>
  </r>
  <r>
    <x v="48"/>
    <x v="48"/>
    <s v="ATIVO"/>
    <x v="2"/>
    <x v="2"/>
    <x v="0"/>
    <s v="07095 - CARLOS HUMBERTO CARDOSO FERREIRA"/>
    <n v="1"/>
    <s v="19/01/2024"/>
    <x v="3"/>
  </r>
  <r>
    <x v="49"/>
    <x v="49"/>
    <s v="ATIVO"/>
    <x v="2"/>
    <x v="2"/>
    <x v="0"/>
    <s v="04974 - EDVALDO MOREIRA SILVA"/>
    <n v="1"/>
    <s v="22/01/2020"/>
    <x v="4"/>
  </r>
  <r>
    <x v="50"/>
    <x v="50"/>
    <s v="ATIVO"/>
    <x v="2"/>
    <x v="2"/>
    <x v="0"/>
    <s v="05090 - FAGNER DE OLIVEIRA BORGES"/>
    <n v="1"/>
    <s v="08/03/2022"/>
    <x v="5"/>
  </r>
  <r>
    <x v="51"/>
    <x v="51"/>
    <s v="ATIVO"/>
    <x v="2"/>
    <x v="2"/>
    <x v="0"/>
    <s v="05098 - JACKSON FRANCO DE JESUS"/>
    <n v="1"/>
    <s v="28/03/2022"/>
    <x v="6"/>
  </r>
  <r>
    <x v="52"/>
    <x v="52"/>
    <s v="ATIVO"/>
    <x v="2"/>
    <x v="2"/>
    <x v="0"/>
    <s v="05085 - JAILSON ALVES DA SILVA"/>
    <n v="1"/>
    <s v="07/02/2022"/>
    <x v="7"/>
  </r>
  <r>
    <x v="53"/>
    <x v="53"/>
    <s v="ATIVO"/>
    <x v="2"/>
    <x v="2"/>
    <x v="0"/>
    <s v="07096 - JOAO VICTOR SANTOS LOPES"/>
    <n v="1"/>
    <s v="19/01/2024"/>
    <x v="8"/>
  </r>
  <r>
    <x v="54"/>
    <x v="54"/>
    <s v="ATIVO"/>
    <x v="2"/>
    <x v="2"/>
    <x v="0"/>
    <s v="07010 - JOAO VITOR RODRIGUES NASCIMENTO"/>
    <n v="1"/>
    <s v="08/12/2022"/>
    <x v="9"/>
  </r>
  <r>
    <x v="55"/>
    <x v="55"/>
    <s v="ATIVO"/>
    <x v="2"/>
    <x v="2"/>
    <x v="0"/>
    <s v="03160 - JORGE DE OLIVEIRA CARDEAL"/>
    <n v="1"/>
    <s v="01/10/2008"/>
    <x v="10"/>
  </r>
  <r>
    <x v="56"/>
    <x v="56"/>
    <s v="ATIVO"/>
    <x v="2"/>
    <x v="2"/>
    <x v="0"/>
    <s v="01306 - JOSE DOS SANTOS ALVES"/>
    <n v="1"/>
    <s v="12/08/1999"/>
    <x v="11"/>
  </r>
  <r>
    <x v="57"/>
    <x v="57"/>
    <s v="FERIAS"/>
    <x v="2"/>
    <x v="2"/>
    <x v="0"/>
    <s v="06027 - KENEDY BISPO DE OLIVEIRA"/>
    <n v="1"/>
    <s v="18/05/2022"/>
    <x v="12"/>
  </r>
  <r>
    <x v="58"/>
    <x v="58"/>
    <s v="FERIAS"/>
    <x v="2"/>
    <x v="2"/>
    <x v="0"/>
    <s v="06086 - LUCAS MARQUES ROCHA"/>
    <n v="1"/>
    <s v="19/09/2022"/>
    <x v="13"/>
  </r>
  <r>
    <x v="59"/>
    <x v="59"/>
    <s v="ATIVO"/>
    <x v="2"/>
    <x v="2"/>
    <x v="0"/>
    <s v="07178 - MAILSON FERREIRA PINHO DE MATTOS"/>
    <n v="1"/>
    <s v="20/08/2024"/>
    <x v="14"/>
  </r>
  <r>
    <x v="60"/>
    <x v="60"/>
    <s v="ATIVO"/>
    <x v="2"/>
    <x v="2"/>
    <x v="0"/>
    <s v="05084 - RIAN CARDOSO SANTOS"/>
    <n v="1"/>
    <s v="07/02/2022"/>
    <x v="15"/>
  </r>
  <r>
    <x v="61"/>
    <x v="61"/>
    <s v="ATIVO"/>
    <x v="2"/>
    <x v="2"/>
    <x v="0"/>
    <s v="05039 - RODRIGO ALVES DA SILVA"/>
    <n v="1"/>
    <s v="10/03/2021"/>
    <x v="16"/>
  </r>
  <r>
    <x v="62"/>
    <x v="62"/>
    <s v="ATIVO"/>
    <x v="3"/>
    <x v="3"/>
    <x v="1"/>
    <s v="07231 - ABILIO ANTONIO BATISTA TEIXEIRA"/>
    <n v="1"/>
    <s v="03/04/2025"/>
    <x v="0"/>
  </r>
  <r>
    <x v="63"/>
    <x v="63"/>
    <s v="ATIVO"/>
    <x v="4"/>
    <x v="3"/>
    <x v="1"/>
    <s v="04632 - ADALBERTO DE JESUS SILVA"/>
    <n v="1"/>
    <s v="06/11/2015"/>
    <x v="1"/>
  </r>
  <r>
    <x v="64"/>
    <x v="64"/>
    <s v="ATIVO"/>
    <x v="5"/>
    <x v="3"/>
    <x v="1"/>
    <s v="07161 - ALAN BARRETO DOS SANTOS SANTOS"/>
    <n v="1"/>
    <s v="22/05/2024"/>
    <x v="2"/>
  </r>
  <r>
    <x v="65"/>
    <x v="65"/>
    <s v="FERIAS"/>
    <x v="6"/>
    <x v="3"/>
    <x v="1"/>
    <s v="04926 - ALAN JUNIO DA SILVA"/>
    <n v="1"/>
    <s v="11/04/2019"/>
    <x v="3"/>
  </r>
  <r>
    <x v="66"/>
    <x v="66"/>
    <s v="FERIAS"/>
    <x v="7"/>
    <x v="3"/>
    <x v="1"/>
    <s v="01348 - ALBINO LACERDA DA SILVA"/>
    <n v="1"/>
    <s v="02/05/2000"/>
    <x v="4"/>
  </r>
  <r>
    <x v="67"/>
    <x v="67"/>
    <s v="ATIVO"/>
    <x v="7"/>
    <x v="3"/>
    <x v="1"/>
    <s v="03740 - ALEXANDRO TRAJANO DA SILVA"/>
    <n v="1"/>
    <s v="04/04/2011"/>
    <x v="5"/>
  </r>
  <r>
    <x v="68"/>
    <x v="68"/>
    <s v="ATIVO"/>
    <x v="7"/>
    <x v="3"/>
    <x v="1"/>
    <s v="04063 - ALISON SILVA DE OLIVEIRA"/>
    <n v="1"/>
    <s v="03/07/2012"/>
    <x v="6"/>
  </r>
  <r>
    <x v="69"/>
    <x v="69"/>
    <s v="ATIVO"/>
    <x v="7"/>
    <x v="3"/>
    <x v="1"/>
    <s v="01349 - ALOIZIO DOS SANTOS RAMOS"/>
    <n v="1"/>
    <s v="02/05/2000"/>
    <x v="7"/>
  </r>
  <r>
    <x v="70"/>
    <x v="70"/>
    <s v="ATIVO"/>
    <x v="4"/>
    <x v="3"/>
    <x v="1"/>
    <s v="04416 - ALTAIR JOSE SANTOS BATISTA"/>
    <n v="1"/>
    <s v="06/03/2014"/>
    <x v="8"/>
  </r>
  <r>
    <x v="71"/>
    <x v="71"/>
    <s v="ATIVO"/>
    <x v="6"/>
    <x v="3"/>
    <x v="1"/>
    <s v="07024 - ANDERSON PIRES COSTA"/>
    <n v="1"/>
    <s v="30/01/2023"/>
    <x v="9"/>
  </r>
  <r>
    <x v="72"/>
    <x v="72"/>
    <s v="ATIVO"/>
    <x v="3"/>
    <x v="3"/>
    <x v="1"/>
    <s v="04626 - ANDRE LUIS DOS SANTOS ROSA"/>
    <n v="1"/>
    <s v="14/10/2015"/>
    <x v="10"/>
  </r>
  <r>
    <x v="73"/>
    <x v="73"/>
    <s v="FERIAS"/>
    <x v="6"/>
    <x v="3"/>
    <x v="1"/>
    <s v="04925 - ANDREY GOMES ARAGAO SILVA"/>
    <n v="1"/>
    <s v="28/03/2019"/>
    <x v="11"/>
  </r>
  <r>
    <x v="74"/>
    <x v="74"/>
    <s v="ATIVO"/>
    <x v="5"/>
    <x v="3"/>
    <x v="1"/>
    <s v="04065 - ANTONIO CARLOS FERREIRA LEITE"/>
    <n v="1"/>
    <s v="03/07/2012"/>
    <x v="12"/>
  </r>
  <r>
    <x v="75"/>
    <x v="75"/>
    <s v="ATIVO"/>
    <x v="7"/>
    <x v="3"/>
    <x v="1"/>
    <s v="04536 - ANTONIO CARLOS MOTA"/>
    <n v="1"/>
    <s v="09/03/2015"/>
    <x v="13"/>
  </r>
  <r>
    <x v="76"/>
    <x v="76"/>
    <s v="ATIVO"/>
    <x v="3"/>
    <x v="3"/>
    <x v="1"/>
    <s v="07268 - ANTONIO MARCOS OLIVEIRA DA SILVA"/>
    <n v="1"/>
    <s v="08/12/2025"/>
    <x v="14"/>
  </r>
  <r>
    <x v="77"/>
    <x v="77"/>
    <s v="ATIVO"/>
    <x v="5"/>
    <x v="3"/>
    <x v="1"/>
    <s v="07160 - ARIEL OLIVEIRA FERREIRA"/>
    <n v="1"/>
    <s v="22/05/2024"/>
    <x v="15"/>
  </r>
  <r>
    <x v="78"/>
    <x v="78"/>
    <s v="ATIVO"/>
    <x v="3"/>
    <x v="3"/>
    <x v="1"/>
    <s v="04556 - BRUNO DA SILVA SANTOS"/>
    <n v="1"/>
    <s v="12/05/2015"/>
    <x v="16"/>
  </r>
  <r>
    <x v="79"/>
    <x v="79"/>
    <s v="ATIVO"/>
    <x v="5"/>
    <x v="3"/>
    <x v="1"/>
    <s v="07159 - CAIQUE BASTOS DE SOUZA"/>
    <n v="1"/>
    <s v="22/05/2024"/>
    <x v="17"/>
  </r>
  <r>
    <x v="80"/>
    <x v="80"/>
    <s v="ATIVO"/>
    <x v="7"/>
    <x v="3"/>
    <x v="1"/>
    <s v="07219 - CHRISTYAN DOS SANTOS OLIVEIRA PINHO"/>
    <n v="1"/>
    <s v="19/02/2025"/>
    <x v="18"/>
  </r>
  <r>
    <x v="81"/>
    <x v="81"/>
    <s v="ATIVO"/>
    <x v="6"/>
    <x v="3"/>
    <x v="1"/>
    <s v="07265 - CLAUDIO BATISTA SILVA DANTAS"/>
    <n v="1"/>
    <s v="03/11/2025"/>
    <x v="19"/>
  </r>
  <r>
    <x v="82"/>
    <x v="82"/>
    <s v="ATIVO"/>
    <x v="3"/>
    <x v="3"/>
    <x v="1"/>
    <s v="04978 - CLAUDIO JOSE ERNESTO EHL"/>
    <n v="1"/>
    <s v="10/02/2020"/>
    <x v="20"/>
  </r>
  <r>
    <x v="83"/>
    <x v="83"/>
    <s v="ATIVO"/>
    <x v="3"/>
    <x v="3"/>
    <x v="1"/>
    <s v="04782 - COSME MAIA DOS SANTOS"/>
    <n v="1"/>
    <s v="13/07/2018"/>
    <x v="21"/>
  </r>
  <r>
    <x v="84"/>
    <x v="84"/>
    <s v="ATIVO"/>
    <x v="7"/>
    <x v="3"/>
    <x v="1"/>
    <s v="06084 - DANIEL DOS SANTOS PINHEIRO"/>
    <n v="1"/>
    <s v="19/09/2022"/>
    <x v="22"/>
  </r>
  <r>
    <x v="85"/>
    <x v="85"/>
    <s v="ATIVO"/>
    <x v="6"/>
    <x v="3"/>
    <x v="1"/>
    <s v="07173 - DANIELLE BARROS PEREIRA"/>
    <n v="1"/>
    <s v="16/07/2024"/>
    <x v="23"/>
  </r>
  <r>
    <x v="86"/>
    <x v="86"/>
    <s v="ATIVO"/>
    <x v="5"/>
    <x v="3"/>
    <x v="1"/>
    <s v="07176 - DAVI DA SILVA SOARES"/>
    <n v="1"/>
    <s v="20/08/2024"/>
    <x v="24"/>
  </r>
  <r>
    <x v="87"/>
    <x v="87"/>
    <s v="ATIVO"/>
    <x v="3"/>
    <x v="3"/>
    <x v="1"/>
    <s v="04918 - DIEGO DE SOUSA FARIAS"/>
    <n v="1"/>
    <s v="13/02/2019"/>
    <x v="25"/>
  </r>
  <r>
    <x v="88"/>
    <x v="88"/>
    <s v="ATIVO"/>
    <x v="3"/>
    <x v="3"/>
    <x v="1"/>
    <s v="07260 - EDENILSON CERQUEIRA NOVAIS"/>
    <n v="1"/>
    <s v="01/09/2025"/>
    <x v="26"/>
  </r>
  <r>
    <x v="89"/>
    <x v="89"/>
    <s v="ATIVO"/>
    <x v="6"/>
    <x v="3"/>
    <x v="1"/>
    <s v="07174 - EDGLEY MACIEL DA SILVA BARROS"/>
    <n v="1"/>
    <s v="16/07/2024"/>
    <x v="27"/>
  </r>
  <r>
    <x v="90"/>
    <x v="90"/>
    <s v="ATIVO"/>
    <x v="6"/>
    <x v="3"/>
    <x v="1"/>
    <s v="05046 - EDMAR JERONIMO DA SILVA ARAUJO"/>
    <n v="1"/>
    <s v="05/04/2021"/>
    <x v="28"/>
  </r>
  <r>
    <x v="91"/>
    <x v="91"/>
    <s v="ATIVO"/>
    <x v="6"/>
    <x v="3"/>
    <x v="1"/>
    <s v="07164 - EDUARDO SILVA DE OLIVEIRA FILHO"/>
    <n v="1"/>
    <s v="29/05/2024"/>
    <x v="29"/>
  </r>
  <r>
    <x v="92"/>
    <x v="92"/>
    <s v="ATIVO"/>
    <x v="7"/>
    <x v="3"/>
    <x v="1"/>
    <s v="07141 - EDVALDO DE SOUZA TELES FILHO"/>
    <n v="1"/>
    <s v="24/04/2024"/>
    <x v="30"/>
  </r>
  <r>
    <x v="93"/>
    <x v="93"/>
    <s v="ATIVO"/>
    <x v="7"/>
    <x v="3"/>
    <x v="1"/>
    <s v="07220 - ELENILSON PAIXAO DOS SANTOS"/>
    <n v="1"/>
    <s v="19/02/2025"/>
    <x v="31"/>
  </r>
  <r>
    <x v="94"/>
    <x v="94"/>
    <s v="ATIVO"/>
    <x v="3"/>
    <x v="3"/>
    <x v="1"/>
    <s v="04002 - ELIAN SILVA DE SOUZA"/>
    <n v="1"/>
    <s v="06/06/2012"/>
    <x v="32"/>
  </r>
  <r>
    <x v="95"/>
    <x v="95"/>
    <s v="ATIVO"/>
    <x v="6"/>
    <x v="3"/>
    <x v="1"/>
    <s v="03217 - ELIANA SILVA RODRIGUES"/>
    <n v="1"/>
    <s v="26/01/2009"/>
    <x v="33"/>
  </r>
  <r>
    <x v="96"/>
    <x v="96"/>
    <s v="ATIVO"/>
    <x v="4"/>
    <x v="3"/>
    <x v="1"/>
    <s v="05077 - EMERSON SANTOS CONCEICAO"/>
    <n v="1"/>
    <s v="05/07/2021"/>
    <x v="34"/>
  </r>
  <r>
    <x v="97"/>
    <x v="97"/>
    <s v="ATIVO"/>
    <x v="3"/>
    <x v="3"/>
    <x v="1"/>
    <s v="05076 - ETEVALDO BARBOSA DOS SANTOS"/>
    <n v="1"/>
    <s v="21/06/2021"/>
    <x v="35"/>
  </r>
  <r>
    <x v="98"/>
    <x v="98"/>
    <s v="ATIVO"/>
    <x v="4"/>
    <x v="3"/>
    <x v="1"/>
    <s v="04004 - FABIO DA CRUZ SANTOS"/>
    <n v="1"/>
    <s v="06/06/2012"/>
    <x v="36"/>
  </r>
  <r>
    <x v="99"/>
    <x v="99"/>
    <s v="FERIAS"/>
    <x v="5"/>
    <x v="3"/>
    <x v="1"/>
    <s v="04481 - FABIO FALCAO DA SILVA"/>
    <n v="1"/>
    <s v="17/09/2014"/>
    <x v="37"/>
  </r>
  <r>
    <x v="100"/>
    <x v="100"/>
    <s v="ATIVO"/>
    <x v="3"/>
    <x v="3"/>
    <x v="1"/>
    <s v="04625 - FELIPE SALGADO DA SILVA"/>
    <n v="1"/>
    <s v="07/10/2015"/>
    <x v="38"/>
  </r>
  <r>
    <x v="101"/>
    <x v="101"/>
    <s v="ATIVO"/>
    <x v="5"/>
    <x v="3"/>
    <x v="1"/>
    <s v="03552 - FLAVIO DOS SANTOS ALVES"/>
    <n v="1"/>
    <s v="07/07/2010"/>
    <x v="39"/>
  </r>
  <r>
    <x v="102"/>
    <x v="102"/>
    <s v="ATIVO"/>
    <x v="4"/>
    <x v="3"/>
    <x v="1"/>
    <s v="07100 - GABRIEL OLIVEIRA DOS SANTOS"/>
    <n v="1"/>
    <s v="23/02/2024"/>
    <x v="40"/>
  </r>
  <r>
    <x v="103"/>
    <x v="103"/>
    <s v="ATIVO"/>
    <x v="5"/>
    <x v="3"/>
    <x v="1"/>
    <s v="07238 - GABRIELA CERQUEIRA SOUZA"/>
    <n v="1"/>
    <s v="28/04/2025"/>
    <x v="41"/>
  </r>
  <r>
    <x v="104"/>
    <x v="104"/>
    <s v="ATIVO"/>
    <x v="6"/>
    <x v="3"/>
    <x v="1"/>
    <s v="07094 - GILBERTO ALVES DE SOUSA"/>
    <n v="1"/>
    <s v="11/01/2024"/>
    <x v="42"/>
  </r>
  <r>
    <x v="105"/>
    <x v="105"/>
    <s v="ATIVO"/>
    <x v="4"/>
    <x v="3"/>
    <x v="1"/>
    <s v="04571 - GILSON PEREIRA VITORIO"/>
    <n v="1"/>
    <s v="18/08/2015"/>
    <x v="43"/>
  </r>
  <r>
    <x v="106"/>
    <x v="106"/>
    <s v="ATIVO"/>
    <x v="4"/>
    <x v="3"/>
    <x v="1"/>
    <s v="06029 - GILTON LUIZ SANTOS DE MATOS"/>
    <n v="1"/>
    <s v="20/05/2022"/>
    <x v="44"/>
  </r>
  <r>
    <x v="107"/>
    <x v="107"/>
    <s v="ATIVO"/>
    <x v="6"/>
    <x v="3"/>
    <x v="1"/>
    <s v="03219 - GILVAN DOS SANTOS"/>
    <n v="1"/>
    <s v="16/02/2009"/>
    <x v="45"/>
  </r>
  <r>
    <x v="108"/>
    <x v="108"/>
    <s v="ATIVO"/>
    <x v="7"/>
    <x v="3"/>
    <x v="1"/>
    <s v="04055 - GIOVANI DE JESUS SANTOS"/>
    <n v="1"/>
    <s v="03/07/2012"/>
    <x v="46"/>
  </r>
  <r>
    <x v="109"/>
    <x v="109"/>
    <s v="FERIAS"/>
    <x v="5"/>
    <x v="3"/>
    <x v="1"/>
    <s v="03507 - HILMARA SANTOS LOPES"/>
    <n v="1"/>
    <s v="18/05/2010"/>
    <x v="47"/>
  </r>
  <r>
    <x v="110"/>
    <x v="110"/>
    <s v="ATIVO"/>
    <x v="6"/>
    <x v="3"/>
    <x v="1"/>
    <s v="06007 - HUGO ALVES DOS SANTOS"/>
    <n v="1"/>
    <s v="25/04/2022"/>
    <x v="48"/>
  </r>
  <r>
    <x v="111"/>
    <x v="111"/>
    <s v="ATIVO"/>
    <x v="3"/>
    <x v="3"/>
    <x v="1"/>
    <s v="07019 - IAN ESTRELA COELHO"/>
    <n v="1"/>
    <s v="12/01/2023"/>
    <x v="49"/>
  </r>
  <r>
    <x v="112"/>
    <x v="112"/>
    <s v="ATIVO"/>
    <x v="3"/>
    <x v="3"/>
    <x v="1"/>
    <s v="04694 - ICARO COSTA LIMA"/>
    <n v="1"/>
    <s v="07/12/2016"/>
    <x v="50"/>
  </r>
  <r>
    <x v="113"/>
    <x v="113"/>
    <s v="ATIVO"/>
    <x v="6"/>
    <x v="3"/>
    <x v="1"/>
    <s v="04967 - IOLANDA RAQUEL GARCIA COSTA"/>
    <n v="1"/>
    <s v="12/12/2019"/>
    <x v="51"/>
  </r>
  <r>
    <x v="114"/>
    <x v="114"/>
    <s v="ATIVO"/>
    <x v="3"/>
    <x v="3"/>
    <x v="1"/>
    <s v="05008 - IRACEMA BRAGA DE JESUS FONSECA"/>
    <n v="1"/>
    <s v="25/08/2020"/>
    <x v="52"/>
  </r>
  <r>
    <x v="115"/>
    <x v="115"/>
    <s v="ATIVO"/>
    <x v="5"/>
    <x v="3"/>
    <x v="1"/>
    <s v="07115 - ISRAEL CUSTODIA PEDREIRA"/>
    <n v="1"/>
    <s v="09/04/2024"/>
    <x v="53"/>
  </r>
  <r>
    <x v="116"/>
    <x v="116"/>
    <s v="ATIVO"/>
    <x v="3"/>
    <x v="3"/>
    <x v="1"/>
    <s v="05045 - JADSON SANTANA RODRIGUES"/>
    <n v="1"/>
    <s v="05/04/2021"/>
    <x v="54"/>
  </r>
  <r>
    <x v="117"/>
    <x v="117"/>
    <s v="FERIAS"/>
    <x v="3"/>
    <x v="3"/>
    <x v="1"/>
    <s v="04948 - JAILSON DOS SANTOS"/>
    <n v="1"/>
    <s v="09/09/2019"/>
    <x v="55"/>
  </r>
  <r>
    <x v="118"/>
    <x v="118"/>
    <s v="FERIAS"/>
    <x v="3"/>
    <x v="3"/>
    <x v="1"/>
    <s v="05023 - JAILTON SANTOS DE SOUSA"/>
    <n v="1"/>
    <s v="11/12/2020"/>
    <x v="56"/>
  </r>
  <r>
    <x v="119"/>
    <x v="119"/>
    <s v="ATIVO"/>
    <x v="5"/>
    <x v="3"/>
    <x v="1"/>
    <s v="04401 - JANIEL DO ROSARIO RIBEIRO"/>
    <n v="1"/>
    <s v="17/01/2014"/>
    <x v="57"/>
  </r>
  <r>
    <x v="120"/>
    <x v="120"/>
    <s v="ATIVO"/>
    <x v="6"/>
    <x v="3"/>
    <x v="1"/>
    <s v="07259 - JANIELLE MOTA MARTINS"/>
    <n v="1"/>
    <s v="01/09/2025"/>
    <x v="58"/>
  </r>
  <r>
    <x v="121"/>
    <x v="121"/>
    <s v="FERIAS"/>
    <x v="5"/>
    <x v="3"/>
    <x v="1"/>
    <s v="07200 - JEFERSON SANTOS LEAL"/>
    <n v="1"/>
    <s v="08/11/2024"/>
    <x v="59"/>
  </r>
  <r>
    <x v="122"/>
    <x v="122"/>
    <s v="ATIVO"/>
    <x v="3"/>
    <x v="3"/>
    <x v="1"/>
    <s v="06008 - JENILSON SILVA DE SOUZA"/>
    <n v="1"/>
    <s v="25/04/2022"/>
    <x v="60"/>
  </r>
  <r>
    <x v="123"/>
    <x v="123"/>
    <s v="ATIVO"/>
    <x v="3"/>
    <x v="3"/>
    <x v="1"/>
    <s v="04394 - JHONE SANTOS SANTIAGO"/>
    <n v="1"/>
    <s v="23/12/2013"/>
    <x v="61"/>
  </r>
  <r>
    <x v="124"/>
    <x v="124"/>
    <s v="ATIVO"/>
    <x v="7"/>
    <x v="3"/>
    <x v="1"/>
    <s v="01449 - JOAO EUDES SANTA BARBARA ARAUJO"/>
    <n v="1"/>
    <s v="01/02/2002"/>
    <x v="62"/>
  </r>
  <r>
    <x v="125"/>
    <x v="125"/>
    <s v="ATIVO"/>
    <x v="6"/>
    <x v="3"/>
    <x v="1"/>
    <s v="04986 - JOICE MARIA DOS SANTOS"/>
    <n v="1"/>
    <s v="23/03/2020"/>
    <x v="63"/>
  </r>
  <r>
    <x v="126"/>
    <x v="126"/>
    <s v="ATIVO"/>
    <x v="4"/>
    <x v="3"/>
    <x v="1"/>
    <s v="06030 - JONATHAN CIRO CONCEICAO DE LIMA"/>
    <n v="1"/>
    <s v="08/06/2022"/>
    <x v="64"/>
  </r>
  <r>
    <x v="127"/>
    <x v="127"/>
    <s v="ATIVO"/>
    <x v="6"/>
    <x v="3"/>
    <x v="1"/>
    <s v="07081 - JORGE MORENO DA SILVA"/>
    <n v="1"/>
    <s v="13/11/2023"/>
    <x v="65"/>
  </r>
  <r>
    <x v="128"/>
    <x v="128"/>
    <s v="ATIVO"/>
    <x v="7"/>
    <x v="3"/>
    <x v="1"/>
    <s v="07199 - JORGE WELINGTON PEREIRA LOPES JUNIOR"/>
    <n v="1"/>
    <s v="28/10/2024"/>
    <x v="66"/>
  </r>
  <r>
    <x v="129"/>
    <x v="129"/>
    <s v="ATIVO"/>
    <x v="6"/>
    <x v="3"/>
    <x v="1"/>
    <s v="04754 - JOSE CLEIDSON TEIXEIRA DA SILVA"/>
    <n v="1"/>
    <s v="08/12/2017"/>
    <x v="67"/>
  </r>
  <r>
    <x v="130"/>
    <x v="130"/>
    <s v="ATIVO"/>
    <x v="7"/>
    <x v="3"/>
    <x v="1"/>
    <s v="04725 - JOSE DOS SANTOS JUNIOR"/>
    <n v="1"/>
    <s v="29/05/2017"/>
    <x v="68"/>
  </r>
  <r>
    <x v="131"/>
    <x v="131"/>
    <s v="ATIVO"/>
    <x v="7"/>
    <x v="3"/>
    <x v="1"/>
    <s v="07022 - JOSE DOS SANTOS OLIVEIRA"/>
    <n v="1"/>
    <s v="17/01/2023"/>
    <x v="69"/>
  </r>
  <r>
    <x v="132"/>
    <x v="132"/>
    <s v="ATIVO"/>
    <x v="7"/>
    <x v="3"/>
    <x v="1"/>
    <s v="05081 - JOSE EDUARDO SANTANA DE CARVALHO"/>
    <n v="1"/>
    <s v="08/09/2021"/>
    <x v="70"/>
  </r>
  <r>
    <x v="133"/>
    <x v="133"/>
    <s v="ATIVO"/>
    <x v="5"/>
    <x v="3"/>
    <x v="1"/>
    <s v="03084 - JOSE MILTON CARVALHO FERREIRA"/>
    <n v="1"/>
    <s v="19/03/2008"/>
    <x v="71"/>
  </r>
  <r>
    <x v="134"/>
    <x v="134"/>
    <s v="ATIVO"/>
    <x v="6"/>
    <x v="3"/>
    <x v="1"/>
    <s v="04670 - JOSE RICARDO SANTOS PORTUGAL"/>
    <n v="1"/>
    <s v="11/07/2016"/>
    <x v="72"/>
  </r>
  <r>
    <x v="135"/>
    <x v="135"/>
    <s v="ATIVO"/>
    <x v="7"/>
    <x v="3"/>
    <x v="1"/>
    <s v="07197 - JOSE VENANCIO DE JESUS MACHADO"/>
    <n v="1"/>
    <s v="28/10/2024"/>
    <x v="73"/>
  </r>
  <r>
    <x v="136"/>
    <x v="136"/>
    <s v="ATIVO"/>
    <x v="6"/>
    <x v="3"/>
    <x v="1"/>
    <s v="07204 - JOSE WILSON GOMES DA SILVA"/>
    <n v="1"/>
    <s v="09/12/2024"/>
    <x v="74"/>
  </r>
  <r>
    <x v="137"/>
    <x v="137"/>
    <s v="ATIVO"/>
    <x v="6"/>
    <x v="3"/>
    <x v="1"/>
    <s v="07258 - JOSIANO COSTA DA SILVA"/>
    <n v="1"/>
    <s v="01/09/2025"/>
    <x v="75"/>
  </r>
  <r>
    <x v="138"/>
    <x v="138"/>
    <s v="ATIVO"/>
    <x v="5"/>
    <x v="3"/>
    <x v="1"/>
    <s v="07102 - JOSIMAR OLIVEIRA SANTOS"/>
    <n v="1"/>
    <s v="27/02/2024"/>
    <x v="76"/>
  </r>
  <r>
    <x v="139"/>
    <x v="139"/>
    <s v="ATIVO"/>
    <x v="6"/>
    <x v="3"/>
    <x v="1"/>
    <s v="04382 - JUCELIA DE JESUS MARQUES"/>
    <n v="1"/>
    <s v="12/11/2013"/>
    <x v="77"/>
  </r>
  <r>
    <x v="140"/>
    <x v="140"/>
    <s v="ATIVO"/>
    <x v="6"/>
    <x v="3"/>
    <x v="1"/>
    <s v="07267 - JULIETE DE SOUZA SANTOS"/>
    <n v="1"/>
    <s v="08/12/2025"/>
    <x v="78"/>
  </r>
  <r>
    <x v="141"/>
    <x v="141"/>
    <s v="ATIVO"/>
    <x v="6"/>
    <x v="3"/>
    <x v="1"/>
    <s v="07264 - JUNICLECIO SANTANA DIAS DOS SANTOS"/>
    <n v="1"/>
    <s v="03/11/2025"/>
    <x v="79"/>
  </r>
  <r>
    <x v="142"/>
    <x v="142"/>
    <s v="FERIAS"/>
    <x v="7"/>
    <x v="3"/>
    <x v="1"/>
    <s v="05043 - KAIQUE MACHADO DA SILVA"/>
    <n v="1"/>
    <s v="05/04/2021"/>
    <x v="80"/>
  </r>
  <r>
    <x v="143"/>
    <x v="143"/>
    <s v="ATIVO"/>
    <x v="5"/>
    <x v="3"/>
    <x v="1"/>
    <s v="07240 - KEYLA BORGES SILVA"/>
    <n v="1"/>
    <s v="28/04/2025"/>
    <x v="81"/>
  </r>
  <r>
    <x v="144"/>
    <x v="144"/>
    <s v="ATIVO"/>
    <x v="7"/>
    <x v="3"/>
    <x v="1"/>
    <s v="07006 - LEANDRO DO NASCIMENTO MENEZES"/>
    <n v="1"/>
    <s v="08/12/2022"/>
    <x v="82"/>
  </r>
  <r>
    <x v="145"/>
    <x v="145"/>
    <s v="ATIVO"/>
    <x v="3"/>
    <x v="3"/>
    <x v="1"/>
    <s v="04944 - LENINE MATEUS BATISTA MARTINS"/>
    <n v="1"/>
    <s v="22/07/2019"/>
    <x v="83"/>
  </r>
  <r>
    <x v="146"/>
    <x v="146"/>
    <s v="ATIVO"/>
    <x v="5"/>
    <x v="3"/>
    <x v="1"/>
    <s v="06011 - LEONARDO DO AMOR DIVINO RAMOS"/>
    <n v="1"/>
    <s v="26/04/2022"/>
    <x v="84"/>
  </r>
  <r>
    <x v="147"/>
    <x v="147"/>
    <s v="ATIVO"/>
    <x v="6"/>
    <x v="3"/>
    <x v="1"/>
    <s v="03486 - LEONARDO FALCONERY SERAFIM"/>
    <n v="1"/>
    <s v="01/03/2010"/>
    <x v="85"/>
  </r>
  <r>
    <x v="148"/>
    <x v="148"/>
    <s v="ATIVO"/>
    <x v="7"/>
    <x v="3"/>
    <x v="1"/>
    <s v="04558 - LILIA OLIVEIRA DOS SANTOS"/>
    <n v="1"/>
    <s v="14/05/2015"/>
    <x v="86"/>
  </r>
  <r>
    <x v="149"/>
    <x v="149"/>
    <s v="ATIVO"/>
    <x v="7"/>
    <x v="3"/>
    <x v="1"/>
    <s v="03443 - LOURISVALDO CARVALHO FERREIRA"/>
    <n v="1"/>
    <s v="14/01/2010"/>
    <x v="87"/>
  </r>
  <r>
    <x v="150"/>
    <x v="150"/>
    <s v="ATIVO"/>
    <x v="5"/>
    <x v="3"/>
    <x v="1"/>
    <s v="07180 - LUAN DOS SANTOS OLIVEIRA"/>
    <n v="1"/>
    <s v="27/08/2024"/>
    <x v="88"/>
  </r>
  <r>
    <x v="151"/>
    <x v="151"/>
    <s v="ATIVO"/>
    <x v="6"/>
    <x v="3"/>
    <x v="1"/>
    <s v="07099 - LUCAS SOARES DOS SANTOS"/>
    <n v="1"/>
    <s v="23/02/2024"/>
    <x v="89"/>
  </r>
  <r>
    <x v="152"/>
    <x v="152"/>
    <s v="ATIVO"/>
    <x v="7"/>
    <x v="3"/>
    <x v="1"/>
    <s v="04525 - LUCIANO DIAS DO CARMO"/>
    <n v="1"/>
    <s v="15/01/2015"/>
    <x v="90"/>
  </r>
  <r>
    <x v="153"/>
    <x v="153"/>
    <s v="ATIVO"/>
    <x v="7"/>
    <x v="3"/>
    <x v="1"/>
    <s v="07122 - LUCIANO DOS SANTOS OLIVEIRA"/>
    <n v="1"/>
    <s v="09/04/2024"/>
    <x v="91"/>
  </r>
  <r>
    <x v="154"/>
    <x v="154"/>
    <s v="ATIVO"/>
    <x v="5"/>
    <x v="3"/>
    <x v="1"/>
    <s v="04724 - LUCIANO SOUZA ALVES BEZERRA"/>
    <n v="1"/>
    <s v="29/05/2017"/>
    <x v="92"/>
  </r>
  <r>
    <x v="155"/>
    <x v="155"/>
    <s v="ATIVO"/>
    <x v="7"/>
    <x v="3"/>
    <x v="1"/>
    <s v="04506 - LUCIO CARLOS DOS SANTOS NASCIMENTO"/>
    <n v="1"/>
    <s v="12/11/2014"/>
    <x v="93"/>
  </r>
  <r>
    <x v="156"/>
    <x v="156"/>
    <s v="ATIVO"/>
    <x v="5"/>
    <x v="3"/>
    <x v="1"/>
    <s v="01353 - LUIS ANTONIO DE OLIVEIRA SANTOS"/>
    <n v="1"/>
    <s v="02/05/2000"/>
    <x v="94"/>
  </r>
  <r>
    <x v="157"/>
    <x v="157"/>
    <s v="ATIVO"/>
    <x v="7"/>
    <x v="3"/>
    <x v="1"/>
    <s v="04403 - LUIS SILVA DE JESUS"/>
    <n v="1"/>
    <s v="24/01/2014"/>
    <x v="95"/>
  </r>
  <r>
    <x v="158"/>
    <x v="158"/>
    <s v="ATIVO"/>
    <x v="6"/>
    <x v="3"/>
    <x v="1"/>
    <s v="07023 - MAICO COELHO SANTOS"/>
    <n v="1"/>
    <s v="24/01/2023"/>
    <x v="96"/>
  </r>
  <r>
    <x v="159"/>
    <x v="159"/>
    <s v="ATIVO"/>
    <x v="3"/>
    <x v="3"/>
    <x v="1"/>
    <s v="04906 - MANOEL CERQUEIRA DOS SANTOS"/>
    <n v="1"/>
    <s v="26/10/2018"/>
    <x v="97"/>
  </r>
  <r>
    <x v="160"/>
    <x v="160"/>
    <s v="ATIVO"/>
    <x v="6"/>
    <x v="3"/>
    <x v="1"/>
    <s v="04715 - MARCIA CLEDINA FERNANDES DE PAIVA"/>
    <n v="1"/>
    <s v="24/03/2017"/>
    <x v="98"/>
  </r>
  <r>
    <x v="161"/>
    <x v="161"/>
    <s v="ATIVO"/>
    <x v="5"/>
    <x v="3"/>
    <x v="1"/>
    <s v="04668 - MARCIO ROSA DA SILVA"/>
    <n v="1"/>
    <s v="11/07/2016"/>
    <x v="99"/>
  </r>
  <r>
    <x v="162"/>
    <x v="162"/>
    <s v="ATIVO"/>
    <x v="3"/>
    <x v="3"/>
    <x v="1"/>
    <s v="04629 - MARCOS CARNEIRO DE OLIVEIRA"/>
    <n v="1"/>
    <s v="19/10/2015"/>
    <x v="100"/>
  </r>
  <r>
    <x v="163"/>
    <x v="163"/>
    <s v="ATIVO"/>
    <x v="5"/>
    <x v="3"/>
    <x v="1"/>
    <s v="04957 - MARCOS MACHADO TORRES"/>
    <n v="1"/>
    <s v="17/09/2019"/>
    <x v="101"/>
  </r>
  <r>
    <x v="164"/>
    <x v="164"/>
    <s v="ATIVO"/>
    <x v="3"/>
    <x v="3"/>
    <x v="1"/>
    <s v="04770 - MATHEUS JOSE OLIVEIRA DE JESUS"/>
    <n v="1"/>
    <s v="12/04/2018"/>
    <x v="102"/>
  </r>
  <r>
    <x v="165"/>
    <x v="165"/>
    <s v="ATIVO"/>
    <x v="3"/>
    <x v="3"/>
    <x v="1"/>
    <s v="07186 - MAURICIO DE JESUS SANTOS"/>
    <n v="1"/>
    <s v="12/09/2024"/>
    <x v="103"/>
  </r>
  <r>
    <x v="166"/>
    <x v="166"/>
    <s v="ATIVO"/>
    <x v="6"/>
    <x v="3"/>
    <x v="1"/>
    <s v="04968 - MAURO GAVAZZONI"/>
    <n v="1"/>
    <s v="12/12/2019"/>
    <x v="104"/>
  </r>
  <r>
    <x v="167"/>
    <x v="167"/>
    <s v="ATIVO"/>
    <x v="6"/>
    <x v="3"/>
    <x v="1"/>
    <s v="03447 - MEIRE REIJANE VITORIO DE JESUS"/>
    <n v="1"/>
    <s v="05/02/2010"/>
    <x v="105"/>
  </r>
  <r>
    <x v="168"/>
    <x v="168"/>
    <s v="ATIVO"/>
    <x v="5"/>
    <x v="3"/>
    <x v="1"/>
    <s v="05021 - MOISES NEVES DOS SANTOS"/>
    <n v="1"/>
    <s v="11/12/2020"/>
    <x v="106"/>
  </r>
  <r>
    <x v="169"/>
    <x v="169"/>
    <s v="ATIVO"/>
    <x v="5"/>
    <x v="3"/>
    <x v="1"/>
    <s v="07148 - NATHALIA CARDOSO BATISTA PEREIRA"/>
    <n v="1"/>
    <s v="29/04/2024"/>
    <x v="107"/>
  </r>
  <r>
    <x v="170"/>
    <x v="170"/>
    <s v="ATIVO"/>
    <x v="6"/>
    <x v="3"/>
    <x v="1"/>
    <s v="04628 - NESTOR GUEDES DE MOURA JUNIOR"/>
    <n v="1"/>
    <s v="16/10/2015"/>
    <x v="108"/>
  </r>
  <r>
    <x v="171"/>
    <x v="171"/>
    <s v="FERIAS"/>
    <x v="5"/>
    <x v="3"/>
    <x v="1"/>
    <s v="07209 - NILTON SOUZA SANTOS"/>
    <n v="1"/>
    <s v="29/01/2025"/>
    <x v="109"/>
  </r>
  <r>
    <x v="172"/>
    <x v="172"/>
    <s v="ATIVO"/>
    <x v="6"/>
    <x v="3"/>
    <x v="1"/>
    <s v="04766 - OLAYR LOPES REBOUCAS"/>
    <n v="1"/>
    <s v="26/02/2018"/>
    <x v="110"/>
  </r>
  <r>
    <x v="173"/>
    <x v="173"/>
    <s v="ATIVO"/>
    <x v="6"/>
    <x v="3"/>
    <x v="1"/>
    <s v="04895 - PABIANE BATISTA DE SOUZA DE SANTIAGO"/>
    <n v="1"/>
    <s v="28/09/2018"/>
    <x v="111"/>
  </r>
  <r>
    <x v="174"/>
    <x v="174"/>
    <s v="ATIVO"/>
    <x v="4"/>
    <x v="3"/>
    <x v="1"/>
    <s v="05034 - PAULO HENRIQUE CORDEIRO DO CARMO"/>
    <n v="1"/>
    <s v="10/02/2021"/>
    <x v="112"/>
  </r>
  <r>
    <x v="175"/>
    <x v="175"/>
    <s v="ATIVO"/>
    <x v="6"/>
    <x v="3"/>
    <x v="1"/>
    <s v="07085 - PAULO PHELIPE DA SILVA FERREIRA"/>
    <n v="1"/>
    <s v="23/11/2023"/>
    <x v="113"/>
  </r>
  <r>
    <x v="176"/>
    <x v="176"/>
    <s v="ATIVO"/>
    <x v="3"/>
    <x v="3"/>
    <x v="1"/>
    <s v="04523 - PAULO SERGIO TEIXEIRA DE JESUS"/>
    <n v="1"/>
    <s v="15/01/2015"/>
    <x v="114"/>
  </r>
  <r>
    <x v="177"/>
    <x v="177"/>
    <s v="ATIVO"/>
    <x v="5"/>
    <x v="3"/>
    <x v="1"/>
    <s v="05016 - PAULO WAKSON SOUZA SANTANA"/>
    <n v="1"/>
    <s v="28/10/2020"/>
    <x v="115"/>
  </r>
  <r>
    <x v="178"/>
    <x v="178"/>
    <s v="ATIVO"/>
    <x v="5"/>
    <x v="3"/>
    <x v="1"/>
    <s v="07150 - POLIANE ARAUJO MELO"/>
    <n v="1"/>
    <s v="29/04/2024"/>
    <x v="116"/>
  </r>
  <r>
    <x v="179"/>
    <x v="179"/>
    <s v="ATIVO"/>
    <x v="4"/>
    <x v="3"/>
    <x v="1"/>
    <s v="04692 - RAFAEL MENDES OLIVEIRA"/>
    <n v="1"/>
    <s v="08/11/2016"/>
    <x v="117"/>
  </r>
  <r>
    <x v="180"/>
    <x v="180"/>
    <s v="ATIVO"/>
    <x v="5"/>
    <x v="3"/>
    <x v="1"/>
    <s v="05050 - RAFAEL PEREIRA DA SILVA"/>
    <n v="1"/>
    <s v="03/05/2021"/>
    <x v="118"/>
  </r>
  <r>
    <x v="181"/>
    <x v="181"/>
    <s v="ATIVO"/>
    <x v="5"/>
    <x v="3"/>
    <x v="1"/>
    <s v="07080 - RAFAEL RODRIGUES DA SILVA SODRE"/>
    <n v="1"/>
    <s v="09/11/2023"/>
    <x v="119"/>
  </r>
  <r>
    <x v="182"/>
    <x v="182"/>
    <s v="ATIVO"/>
    <x v="5"/>
    <x v="3"/>
    <x v="1"/>
    <s v="07172 - RAIAN LOPES DE OLIVEIRA"/>
    <n v="1"/>
    <s v="10/06/2024"/>
    <x v="120"/>
  </r>
  <r>
    <x v="183"/>
    <x v="183"/>
    <s v="ATIVO"/>
    <x v="7"/>
    <x v="3"/>
    <x v="1"/>
    <s v="07198 - RALF RABELLO SILVA BOMFIM"/>
    <n v="1"/>
    <s v="28/10/2024"/>
    <x v="121"/>
  </r>
  <r>
    <x v="184"/>
    <x v="184"/>
    <s v="ATIVO"/>
    <x v="6"/>
    <x v="3"/>
    <x v="1"/>
    <s v="07206 - REBECA THAYSE LEAL SALUSTIANO"/>
    <n v="1"/>
    <s v="27/01/2025"/>
    <x v="122"/>
  </r>
  <r>
    <x v="185"/>
    <x v="185"/>
    <s v="ATIVO"/>
    <x v="7"/>
    <x v="3"/>
    <x v="1"/>
    <s v="02458 - REINIVALDO DE JESUS"/>
    <n v="1"/>
    <s v="03/04/2006"/>
    <x v="123"/>
  </r>
  <r>
    <x v="186"/>
    <x v="186"/>
    <s v="ATIVO"/>
    <x v="5"/>
    <x v="3"/>
    <x v="1"/>
    <s v="07208 - RENATO BRITO DE JESUS JUNIOR"/>
    <n v="1"/>
    <s v="29/01/2025"/>
    <x v="124"/>
  </r>
  <r>
    <x v="187"/>
    <x v="187"/>
    <s v="ATIVO"/>
    <x v="4"/>
    <x v="3"/>
    <x v="1"/>
    <s v="04708 - ROBSON DA CRUZ DE JESUS LIMA"/>
    <n v="1"/>
    <s v="13/02/2017"/>
    <x v="125"/>
  </r>
  <r>
    <x v="188"/>
    <x v="188"/>
    <s v="ATIVO"/>
    <x v="7"/>
    <x v="3"/>
    <x v="1"/>
    <s v="03729 - ROQUE TEIXEIRA DOS SANTOS"/>
    <n v="1"/>
    <s v="07/02/2011"/>
    <x v="126"/>
  </r>
  <r>
    <x v="189"/>
    <x v="189"/>
    <s v="ATIVO"/>
    <x v="6"/>
    <x v="3"/>
    <x v="1"/>
    <s v="04389 - ROSENIR DO NASCIMENTO SILVA ROSENDO"/>
    <n v="1"/>
    <s v="09/12/2013"/>
    <x v="127"/>
  </r>
  <r>
    <x v="190"/>
    <x v="190"/>
    <s v="ATIVO"/>
    <x v="6"/>
    <x v="3"/>
    <x v="1"/>
    <s v="04192 - ROSIENE VIEIRA SILVA"/>
    <n v="1"/>
    <s v="15/02/2013"/>
    <x v="128"/>
  </r>
  <r>
    <x v="191"/>
    <x v="191"/>
    <s v="ATIVO"/>
    <x v="5"/>
    <x v="3"/>
    <x v="1"/>
    <s v="07201 - RYAN VICTOR PEREIRA MOTA"/>
    <n v="1"/>
    <s v="08/11/2024"/>
    <x v="129"/>
  </r>
  <r>
    <x v="192"/>
    <x v="192"/>
    <s v="ATIVO"/>
    <x v="6"/>
    <x v="3"/>
    <x v="1"/>
    <s v="04210 - SARAJANE MARIA DA SILVA"/>
    <n v="1"/>
    <s v="13/05/2013"/>
    <x v="130"/>
  </r>
  <r>
    <x v="193"/>
    <x v="193"/>
    <s v="ATIVO"/>
    <x v="3"/>
    <x v="3"/>
    <x v="1"/>
    <s v="05005 - SIMONE SILVA PIMENTEL"/>
    <n v="1"/>
    <s v="17/08/2020"/>
    <x v="131"/>
  </r>
  <r>
    <x v="194"/>
    <x v="194"/>
    <s v="ATIVO"/>
    <x v="3"/>
    <x v="3"/>
    <x v="1"/>
    <s v="07175 - TACIO PINTO BATISTA"/>
    <n v="1"/>
    <s v="13/08/2024"/>
    <x v="132"/>
  </r>
  <r>
    <x v="195"/>
    <x v="195"/>
    <s v="ATIVO"/>
    <x v="5"/>
    <x v="3"/>
    <x v="1"/>
    <s v="07098 - TAMIRES GOMES BORGES ALVES"/>
    <n v="1"/>
    <s v="14/02/2024"/>
    <x v="133"/>
  </r>
  <r>
    <x v="196"/>
    <x v="196"/>
    <s v="ATIVO"/>
    <x v="3"/>
    <x v="3"/>
    <x v="1"/>
    <s v="05032 - THIAGO SILVA SANTOS"/>
    <n v="1"/>
    <s v="10/02/2021"/>
    <x v="134"/>
  </r>
  <r>
    <x v="197"/>
    <x v="197"/>
    <s v="ATIVO"/>
    <x v="6"/>
    <x v="3"/>
    <x v="1"/>
    <s v="07076 - TIAGO SOUZA BEZERRA"/>
    <n v="1"/>
    <s v="13/09/2023"/>
    <x v="135"/>
  </r>
  <r>
    <x v="198"/>
    <x v="198"/>
    <s v="ATIVO"/>
    <x v="6"/>
    <x v="3"/>
    <x v="1"/>
    <s v="02819 - VALDEILSON GOMES DE SANTIAGO"/>
    <n v="1"/>
    <s v="01/11/2006"/>
    <x v="136"/>
  </r>
  <r>
    <x v="199"/>
    <x v="199"/>
    <s v="ATIVO"/>
    <x v="7"/>
    <x v="3"/>
    <x v="1"/>
    <s v="04168 - VALDIR DE CARVALHO PINHEIRO"/>
    <n v="1"/>
    <s v="19/11/2012"/>
    <x v="137"/>
  </r>
  <r>
    <x v="200"/>
    <x v="200"/>
    <s v="ATIVO"/>
    <x v="3"/>
    <x v="3"/>
    <x v="1"/>
    <s v="04292 - VANDA DOS SANTOS SOUZA"/>
    <n v="1"/>
    <s v="12/08/2013"/>
    <x v="138"/>
  </r>
  <r>
    <x v="201"/>
    <x v="201"/>
    <s v="ATIVO"/>
    <x v="7"/>
    <x v="3"/>
    <x v="1"/>
    <s v="05047 - VANESSA RIBEIRO SANTOS"/>
    <n v="1"/>
    <s v="12/04/2021"/>
    <x v="139"/>
  </r>
  <r>
    <x v="202"/>
    <x v="202"/>
    <s v="ATIVO"/>
    <x v="3"/>
    <x v="3"/>
    <x v="1"/>
    <s v="03760 - VERA HELENA MOREIRA"/>
    <n v="1"/>
    <s v="01/06/2011"/>
    <x v="140"/>
  </r>
  <r>
    <x v="203"/>
    <x v="203"/>
    <s v="ATIVO"/>
    <x v="6"/>
    <x v="3"/>
    <x v="1"/>
    <s v="04099 - VERONICA SILVA SANTOS"/>
    <n v="1"/>
    <s v="18/07/2012"/>
    <x v="141"/>
  </r>
  <r>
    <x v="204"/>
    <x v="204"/>
    <s v="ATIVO"/>
    <x v="7"/>
    <x v="3"/>
    <x v="1"/>
    <s v="04927 - VINICIO SILVA PEREIRA"/>
    <n v="1"/>
    <s v="16/04/2019"/>
    <x v="142"/>
  </r>
  <r>
    <x v="205"/>
    <x v="205"/>
    <s v="ATIVO"/>
    <x v="3"/>
    <x v="3"/>
    <x v="1"/>
    <s v="05075 - YAN VITOR RIOS MACHADO"/>
    <n v="1"/>
    <s v="21/06/2021"/>
    <x v="143"/>
  </r>
  <r>
    <x v="206"/>
    <x v="206"/>
    <s v="ATIVO"/>
    <x v="8"/>
    <x v="4"/>
    <x v="0"/>
    <s v="01190 - ADAILTON DA ANUNCIACAO SANTOS CARVALHO"/>
    <n v="1"/>
    <s v="10/12/1997"/>
    <x v="0"/>
  </r>
  <r>
    <x v="207"/>
    <x v="207"/>
    <s v="ATIVO"/>
    <x v="9"/>
    <x v="4"/>
    <x v="0"/>
    <s v="04295 - ANTONIEL SANTOS DE JESUS"/>
    <n v="1"/>
    <s v="20/08/2013"/>
    <x v="1"/>
  </r>
  <r>
    <x v="208"/>
    <x v="208"/>
    <s v="ATIVO"/>
    <x v="10"/>
    <x v="4"/>
    <x v="0"/>
    <s v="03422 - ANTONIO CERQUEIRA SANTOS"/>
    <n v="1"/>
    <s v="03/11/2009"/>
    <x v="2"/>
  </r>
  <r>
    <x v="209"/>
    <x v="209"/>
    <s v="ATIVO"/>
    <x v="9"/>
    <x v="4"/>
    <x v="0"/>
    <s v="05095 - ANTONIO DA SILVA OLIVEIRA"/>
    <n v="1"/>
    <s v="28/03/2022"/>
    <x v="3"/>
  </r>
  <r>
    <x v="210"/>
    <x v="210"/>
    <s v="ATIVO"/>
    <x v="9"/>
    <x v="4"/>
    <x v="0"/>
    <s v="07272 - ANTONIO DE ALMEIDA SANTIAGO"/>
    <n v="1"/>
    <s v="10/12/2025"/>
    <x v="4"/>
  </r>
  <r>
    <x v="211"/>
    <x v="211"/>
    <s v="ATIVO"/>
    <x v="10"/>
    <x v="4"/>
    <x v="0"/>
    <s v="06097 - ANTONIO JORGE LIMA SOUZA"/>
    <n v="1"/>
    <s v="17/10/2022"/>
    <x v="5"/>
  </r>
  <r>
    <x v="212"/>
    <x v="212"/>
    <s v="ATIVO"/>
    <x v="10"/>
    <x v="4"/>
    <x v="0"/>
    <s v="00123 - ASSIS DOS SANTOS OLIVEIRA"/>
    <n v="1"/>
    <s v="02/01/1992"/>
    <x v="6"/>
  </r>
  <r>
    <x v="213"/>
    <x v="213"/>
    <s v="ATIVO"/>
    <x v="9"/>
    <x v="4"/>
    <x v="0"/>
    <s v="07067 - BRENO LIMA DOS SANTOS"/>
    <n v="1"/>
    <s v="19/07/2023"/>
    <x v="7"/>
  </r>
  <r>
    <x v="214"/>
    <x v="214"/>
    <s v="ATIVO"/>
    <x v="9"/>
    <x v="4"/>
    <x v="0"/>
    <s v="07276 - CARLOS ALBERTO SOUZA PAIM"/>
    <n v="1"/>
    <s v="10/12/2025"/>
    <x v="8"/>
  </r>
  <r>
    <x v="215"/>
    <x v="215"/>
    <s v="ATIVO"/>
    <x v="11"/>
    <x v="4"/>
    <x v="0"/>
    <s v="04043 - DALVA MARIA DOS SANTOS OLIVEIRA"/>
    <n v="1"/>
    <s v="22/06/2012"/>
    <x v="9"/>
  </r>
  <r>
    <x v="216"/>
    <x v="216"/>
    <s v="ATIVO"/>
    <x v="9"/>
    <x v="4"/>
    <x v="0"/>
    <s v="07277 - DIEGO SANTOS RODRIGUES"/>
    <n v="1"/>
    <s v="10/12/2025"/>
    <x v="10"/>
  </r>
  <r>
    <x v="217"/>
    <x v="217"/>
    <s v="ATIVO"/>
    <x v="9"/>
    <x v="4"/>
    <x v="0"/>
    <s v="02897 - EDILSON DE JESUS SOARES"/>
    <n v="1"/>
    <s v="18/05/2007"/>
    <x v="11"/>
  </r>
  <r>
    <x v="218"/>
    <x v="218"/>
    <s v="ATIVO"/>
    <x v="9"/>
    <x v="4"/>
    <x v="0"/>
    <s v="03693 - EDSON LACERDA DOS SANTOS"/>
    <n v="1"/>
    <s v="27/12/2010"/>
    <x v="12"/>
  </r>
  <r>
    <x v="219"/>
    <x v="219"/>
    <s v="ATIVO"/>
    <x v="11"/>
    <x v="4"/>
    <x v="0"/>
    <s v="05015 - ELIZANGELA RIBEIRO DE JESUS"/>
    <n v="1"/>
    <s v="14/10/2020"/>
    <x v="13"/>
  </r>
  <r>
    <x v="220"/>
    <x v="220"/>
    <s v="ATIVO"/>
    <x v="10"/>
    <x v="4"/>
    <x v="0"/>
    <s v="00301 - FELIPE PORTO BRANDAO"/>
    <n v="1"/>
    <s v="21/11/1995"/>
    <x v="14"/>
  </r>
  <r>
    <x v="221"/>
    <x v="221"/>
    <s v="ATIVO"/>
    <x v="9"/>
    <x v="4"/>
    <x v="0"/>
    <s v="05002 - FRANCISCO SANTANA DA CONCEICAO"/>
    <n v="1"/>
    <s v="24/07/2020"/>
    <x v="15"/>
  </r>
  <r>
    <x v="222"/>
    <x v="222"/>
    <s v="ATIVO"/>
    <x v="9"/>
    <x v="4"/>
    <x v="0"/>
    <s v="01313 - FRANCISCO SILVA DA CONCEICAO"/>
    <n v="1"/>
    <s v="24/08/1999"/>
    <x v="16"/>
  </r>
  <r>
    <x v="223"/>
    <x v="223"/>
    <s v="ATIVO"/>
    <x v="10"/>
    <x v="4"/>
    <x v="0"/>
    <s v="03745 - HELENITO NASCIMENTO BASTOS"/>
    <n v="1"/>
    <s v="18/04/2011"/>
    <x v="17"/>
  </r>
  <r>
    <x v="224"/>
    <x v="224"/>
    <s v="ATIVO"/>
    <x v="9"/>
    <x v="4"/>
    <x v="0"/>
    <s v="04008 - IMEZIO TELES DOS SANTOS"/>
    <n v="1"/>
    <s v="08/06/2012"/>
    <x v="18"/>
  </r>
  <r>
    <x v="225"/>
    <x v="225"/>
    <s v="ATIVO"/>
    <x v="11"/>
    <x v="4"/>
    <x v="0"/>
    <s v="04998 - JAQUELINE BASTOS SILVA CARVALHO"/>
    <n v="1"/>
    <s v="24/07/2020"/>
    <x v="19"/>
  </r>
  <r>
    <x v="226"/>
    <x v="226"/>
    <s v="ATIVO"/>
    <x v="10"/>
    <x v="4"/>
    <x v="0"/>
    <s v="04772 - JERSON DOS SANTOS EVANGELISTA"/>
    <n v="1"/>
    <s v="27/04/2018"/>
    <x v="20"/>
  </r>
  <r>
    <x v="227"/>
    <x v="227"/>
    <s v="ATIVO"/>
    <x v="10"/>
    <x v="4"/>
    <x v="0"/>
    <s v="04548 - JOILSON SANTOS FERNANDES"/>
    <n v="1"/>
    <s v="08/04/2015"/>
    <x v="21"/>
  </r>
  <r>
    <x v="228"/>
    <x v="228"/>
    <s v="ATIVO"/>
    <x v="10"/>
    <x v="4"/>
    <x v="0"/>
    <s v="03878 - JORGE DA SILVA GAMA"/>
    <n v="1"/>
    <s v="14/09/2011"/>
    <x v="22"/>
  </r>
  <r>
    <x v="229"/>
    <x v="229"/>
    <s v="ATIVO"/>
    <x v="10"/>
    <x v="4"/>
    <x v="0"/>
    <s v="01636 - JOSELITO SOUZA DE OLIVEIRA"/>
    <n v="1"/>
    <s v="23/09/2003"/>
    <x v="23"/>
  </r>
  <r>
    <x v="230"/>
    <x v="230"/>
    <s v="ATIVO"/>
    <x v="11"/>
    <x v="4"/>
    <x v="0"/>
    <s v="04046 - JOSENILZA RODRIGUES DO ROSARIO"/>
    <n v="1"/>
    <s v="22/06/2012"/>
    <x v="24"/>
  </r>
  <r>
    <x v="231"/>
    <x v="231"/>
    <s v="FERIAS"/>
    <x v="10"/>
    <x v="4"/>
    <x v="0"/>
    <s v="04319 - JOSEVAL DOS SANTOS"/>
    <n v="1"/>
    <s v="23/09/2013"/>
    <x v="25"/>
  </r>
  <r>
    <x v="232"/>
    <x v="232"/>
    <s v="ATIVO"/>
    <x v="11"/>
    <x v="4"/>
    <x v="0"/>
    <s v="03525 - JUCILENE DOS SANTOS"/>
    <n v="1"/>
    <s v="01/06/2010"/>
    <x v="26"/>
  </r>
  <r>
    <x v="233"/>
    <x v="233"/>
    <s v="ATIVO"/>
    <x v="10"/>
    <x v="4"/>
    <x v="0"/>
    <s v="04618 - LAERCIO RIBEIRO"/>
    <n v="1"/>
    <s v="24/09/2015"/>
    <x v="27"/>
  </r>
  <r>
    <x v="234"/>
    <x v="234"/>
    <s v="ATIVO"/>
    <x v="10"/>
    <x v="4"/>
    <x v="0"/>
    <s v="07063 - LEANDRO ALVES SOARES"/>
    <n v="1"/>
    <s v="19/07/2023"/>
    <x v="28"/>
  </r>
  <r>
    <x v="235"/>
    <x v="235"/>
    <s v="ATIVO"/>
    <x v="8"/>
    <x v="4"/>
    <x v="0"/>
    <s v="04218 - LEONILSON DOS SANTOS BENTO"/>
    <n v="1"/>
    <s v="17/05/2013"/>
    <x v="29"/>
  </r>
  <r>
    <x v="236"/>
    <x v="236"/>
    <s v="ATIVO"/>
    <x v="9"/>
    <x v="4"/>
    <x v="0"/>
    <s v="07068 - LUCAS OLIVEIRA DE JESUS"/>
    <n v="1"/>
    <s v="19/07/2023"/>
    <x v="30"/>
  </r>
  <r>
    <x v="237"/>
    <x v="237"/>
    <s v="ATIVO"/>
    <x v="9"/>
    <x v="4"/>
    <x v="0"/>
    <s v="07271 - LUCAS REIS MATOS"/>
    <n v="1"/>
    <s v="10/12/2025"/>
    <x v="31"/>
  </r>
  <r>
    <x v="238"/>
    <x v="238"/>
    <s v="ATIVO"/>
    <x v="11"/>
    <x v="4"/>
    <x v="0"/>
    <s v="02355 - MARIA REGINA MARTINS"/>
    <n v="1"/>
    <s v="05/09/2005"/>
    <x v="32"/>
  </r>
  <r>
    <x v="239"/>
    <x v="239"/>
    <s v="ATIVO"/>
    <x v="10"/>
    <x v="4"/>
    <x v="0"/>
    <s v="04500 - NELSON DO NASCIMENTO BIZERRA"/>
    <n v="1"/>
    <s v="21/10/2014"/>
    <x v="33"/>
  </r>
  <r>
    <x v="240"/>
    <x v="240"/>
    <s v="ATIVO"/>
    <x v="10"/>
    <x v="4"/>
    <x v="0"/>
    <s v="04547 - PAULO ROBERTO FONTES ARGOLLO DE BRITTO JUNIOR"/>
    <n v="1"/>
    <s v="08/04/2015"/>
    <x v="34"/>
  </r>
  <r>
    <x v="241"/>
    <x v="241"/>
    <s v="ATIVO"/>
    <x v="11"/>
    <x v="4"/>
    <x v="0"/>
    <s v="03850 - SANDRA DOS SANTOS GOUVEIA"/>
    <n v="1"/>
    <s v="18/08/2011"/>
    <x v="35"/>
  </r>
  <r>
    <x v="242"/>
    <x v="242"/>
    <s v="ATIVO"/>
    <x v="9"/>
    <x v="4"/>
    <x v="0"/>
    <s v="07269 - SANDRO LUAN SALES DE OLIVEIRA REIS"/>
    <n v="1"/>
    <s v="10/12/2025"/>
    <x v="36"/>
  </r>
  <r>
    <x v="243"/>
    <x v="243"/>
    <s v="ATIVO"/>
    <x v="8"/>
    <x v="4"/>
    <x v="0"/>
    <s v="03230 - UBIRACI MACHADO DOS SANTOS"/>
    <n v="1"/>
    <s v="01/04/2009"/>
    <x v="37"/>
  </r>
  <r>
    <x v="244"/>
    <x v="244"/>
    <s v="ATIVO"/>
    <x v="8"/>
    <x v="4"/>
    <x v="0"/>
    <s v="04933 - VIVALDO DA ANUNCIACAO OLIVEIRA"/>
    <n v="1"/>
    <s v="15/05/2019"/>
    <x v="38"/>
  </r>
  <r>
    <x v="245"/>
    <x v="245"/>
    <s v="ATIVO"/>
    <x v="9"/>
    <x v="4"/>
    <x v="0"/>
    <s v="07166 - WESLEY ALAN ARAUJO DE SANTANA"/>
    <n v="1"/>
    <s v="10/06/2024"/>
    <x v="39"/>
  </r>
  <r>
    <x v="246"/>
    <x v="246"/>
    <s v="ATIVO"/>
    <x v="12"/>
    <x v="5"/>
    <x v="1"/>
    <s v="99014 - ANA CAROLINA DIAS DA SILVA"/>
    <n v="1"/>
    <s v="01/09/2014"/>
    <x v="0"/>
  </r>
  <r>
    <x v="247"/>
    <x v="247"/>
    <s v="ATIVO"/>
    <x v="12"/>
    <x v="5"/>
    <x v="1"/>
    <s v="99010 - CRISTIANE PIEDADE DE JESUS LIMA"/>
    <n v="1"/>
    <s v="01/04/2009"/>
    <x v="1"/>
  </r>
  <r>
    <x v="248"/>
    <x v="248"/>
    <s v="ATIVO"/>
    <x v="12"/>
    <x v="5"/>
    <x v="1"/>
    <s v="07151 - IASMIN JULIAO SOUZA"/>
    <n v="1"/>
    <s v="29/04/2024"/>
    <x v="2"/>
  </r>
  <r>
    <x v="249"/>
    <x v="249"/>
    <s v="ATIVO"/>
    <x v="12"/>
    <x v="5"/>
    <x v="1"/>
    <s v="07077 - JESSIANE NASCIMENTO MACHADO"/>
    <n v="1"/>
    <s v="27/09/2023"/>
    <x v="3"/>
  </r>
  <r>
    <x v="250"/>
    <x v="250"/>
    <s v="ATIVO"/>
    <x v="12"/>
    <x v="5"/>
    <x v="1"/>
    <s v="99008 - LEONARDO JOEL SANTOS"/>
    <n v="1"/>
    <s v="02/01/2008"/>
    <x v="4"/>
  </r>
  <r>
    <x v="251"/>
    <x v="251"/>
    <s v="ATIVO"/>
    <x v="12"/>
    <x v="5"/>
    <x v="1"/>
    <s v="07244 - MARCELLY DOS SANTOS MERCES"/>
    <n v="1"/>
    <s v="28/04/2025"/>
    <x v="5"/>
  </r>
  <r>
    <x v="252"/>
    <x v="252"/>
    <s v="ATIVO"/>
    <x v="12"/>
    <x v="5"/>
    <x v="1"/>
    <s v="99015 - WELLINGTON APARECIDO ROCHA BALBO"/>
    <n v="1"/>
    <s v="17/10/2014"/>
    <x v="6"/>
  </r>
  <r>
    <x v="253"/>
    <x v="253"/>
    <s v="ATIVO"/>
    <x v="13"/>
    <x v="6"/>
    <x v="0"/>
    <s v="02857 - ANA FLAVIA OLIVEIRA PEREIRA"/>
    <n v="1"/>
    <s v="31/01/2007"/>
    <x v="0"/>
  </r>
  <r>
    <x v="254"/>
    <x v="254"/>
    <s v="ATIVO"/>
    <x v="13"/>
    <x v="6"/>
    <x v="0"/>
    <s v="04180 - ARILANE MARQUES DOS SANTOS"/>
    <n v="1"/>
    <s v="02/01/2013"/>
    <x v="1"/>
  </r>
  <r>
    <x v="255"/>
    <x v="255"/>
    <s v="ATIVO"/>
    <x v="13"/>
    <x v="6"/>
    <x v="0"/>
    <s v="04163 - EDNEIDE MARQUES ALVES AMARAL"/>
    <n v="1"/>
    <s v="12/11/2012"/>
    <x v="2"/>
  </r>
  <r>
    <x v="256"/>
    <x v="256"/>
    <s v="ATIVO"/>
    <x v="13"/>
    <x v="6"/>
    <x v="0"/>
    <s v="07249 - FRANCILEIDE MARTA DE JESUS BESSA"/>
    <n v="1"/>
    <s v="14/07/2025"/>
    <x v="3"/>
  </r>
  <r>
    <x v="257"/>
    <x v="257"/>
    <s v="ATIVO"/>
    <x v="13"/>
    <x v="6"/>
    <x v="0"/>
    <s v="07005 - GABRIEL COSTA SANTOS"/>
    <n v="1"/>
    <s v="08/12/2022"/>
    <x v="4"/>
  </r>
  <r>
    <x v="258"/>
    <x v="258"/>
    <s v="ATIVO"/>
    <x v="13"/>
    <x v="6"/>
    <x v="0"/>
    <s v="07257 - GIRLANE PAIXAO DOS SANTOS"/>
    <n v="1"/>
    <s v="25/08/2025"/>
    <x v="5"/>
  </r>
  <r>
    <x v="259"/>
    <x v="259"/>
    <s v="ATIVO"/>
    <x v="13"/>
    <x v="6"/>
    <x v="0"/>
    <s v="07248 - JADCLEIA DE SOUZA XAVIER"/>
    <n v="1"/>
    <s v="07/07/2025"/>
    <x v="6"/>
  </r>
  <r>
    <x v="260"/>
    <x v="260"/>
    <s v="ATIVO"/>
    <x v="13"/>
    <x v="6"/>
    <x v="0"/>
    <s v="07251 - KATIA COUTO CARDOSO"/>
    <n v="1"/>
    <s v="12/08/2025"/>
    <x v="7"/>
  </r>
  <r>
    <x v="261"/>
    <x v="261"/>
    <s v="ATIVO"/>
    <x v="13"/>
    <x v="6"/>
    <x v="0"/>
    <s v="07263 - KELLY FORTALESA RODRIGUES LIMA"/>
    <n v="1"/>
    <s v="09/09/2025"/>
    <x v="8"/>
  </r>
  <r>
    <x v="262"/>
    <x v="262"/>
    <s v="ATIVO"/>
    <x v="13"/>
    <x v="6"/>
    <x v="0"/>
    <s v="07250 - LAIS SOUZA MACHADO TEIXEIRA"/>
    <n v="1"/>
    <s v="12/08/2025"/>
    <x v="9"/>
  </r>
  <r>
    <x v="263"/>
    <x v="263"/>
    <s v="ATIVO"/>
    <x v="13"/>
    <x v="6"/>
    <x v="0"/>
    <s v="07044 - MARILIA LIMA CONCEICAO"/>
    <n v="1"/>
    <s v="10/05/2023"/>
    <x v="10"/>
  </r>
  <r>
    <x v="264"/>
    <x v="264"/>
    <s v="ATIVO"/>
    <x v="13"/>
    <x v="6"/>
    <x v="0"/>
    <s v="07049 - ROBSON DE OLIVEIRA CARVALHO JUNIOR"/>
    <n v="1"/>
    <s v="26/06/2023"/>
    <x v="11"/>
  </r>
  <r>
    <x v="265"/>
    <x v="265"/>
    <s v="ATIVO"/>
    <x v="13"/>
    <x v="6"/>
    <x v="0"/>
    <s v="04702 - SAMUEL BRITO DA SILVA"/>
    <n v="1"/>
    <s v="16/01/2017"/>
    <x v="12"/>
  </r>
  <r>
    <x v="266"/>
    <x v="266"/>
    <s v="ATIVO"/>
    <x v="13"/>
    <x v="6"/>
    <x v="0"/>
    <s v="07205 - THAIS SOUZA AMORIM"/>
    <n v="1"/>
    <s v="06/01/2025"/>
    <x v="13"/>
  </r>
  <r>
    <x v="267"/>
    <x v="267"/>
    <s v="ATIVO"/>
    <x v="13"/>
    <x v="6"/>
    <x v="0"/>
    <s v="07061 - THAISE SOUZA AMORIM"/>
    <n v="1"/>
    <s v="11/07/2023"/>
    <x v="14"/>
  </r>
  <r>
    <x v="268"/>
    <x v="268"/>
    <s v="ATIVO"/>
    <x v="13"/>
    <x v="6"/>
    <x v="0"/>
    <s v="07047 - VANESSA DIAS DE JESUS SOUZA"/>
    <n v="1"/>
    <s v="22/05/2023"/>
    <x v="15"/>
  </r>
  <r>
    <x v="269"/>
    <x v="269"/>
    <s v="ATIVO"/>
    <x v="14"/>
    <x v="7"/>
    <x v="1"/>
    <s v="04195 - AILTON DA CRUZ FREITAS"/>
    <n v="1"/>
    <s v="19/03/2013"/>
    <x v="0"/>
  </r>
  <r>
    <x v="270"/>
    <x v="270"/>
    <s v="ATIVO"/>
    <x v="15"/>
    <x v="7"/>
    <x v="0"/>
    <s v="03455 - ALFREDO MARQUES CERQUEIRA SANTANA"/>
    <n v="1"/>
    <s v="22/02/2010"/>
    <x v="1"/>
  </r>
  <r>
    <x v="271"/>
    <x v="271"/>
    <s v="ATIVO"/>
    <x v="16"/>
    <x v="7"/>
    <x v="0"/>
    <s v="04645 - AMILTON OLIVEIRA BOAVENTURA"/>
    <n v="1"/>
    <s v="15/02/2016"/>
    <x v="2"/>
  </r>
  <r>
    <x v="272"/>
    <x v="272"/>
    <s v="ATIVO"/>
    <x v="15"/>
    <x v="7"/>
    <x v="0"/>
    <s v="01555 - ANSELMO ARAUJO DOS SANTOS"/>
    <n v="1"/>
    <s v="01/04/2003"/>
    <x v="3"/>
  </r>
  <r>
    <x v="273"/>
    <x v="273"/>
    <s v="ATIVO"/>
    <x v="14"/>
    <x v="7"/>
    <x v="1"/>
    <s v="04729 - ANTONIO JOSE SANTOS SILVA"/>
    <n v="1"/>
    <s v="27/06/2017"/>
    <x v="4"/>
  </r>
  <r>
    <x v="274"/>
    <x v="274"/>
    <s v="ATIVO"/>
    <x v="16"/>
    <x v="7"/>
    <x v="0"/>
    <s v="07207 - ANTONIO RODRIGO PINTO DE BRITO"/>
    <n v="1"/>
    <s v="29/01/2025"/>
    <x v="5"/>
  </r>
  <r>
    <x v="275"/>
    <x v="275"/>
    <s v="ATIVO"/>
    <x v="14"/>
    <x v="7"/>
    <x v="1"/>
    <s v="06005 - ANTONIO WILSON ALMEIDA DA SILVA"/>
    <n v="1"/>
    <s v="11/04/2022"/>
    <x v="6"/>
  </r>
  <r>
    <x v="276"/>
    <x v="276"/>
    <s v="ATIVO"/>
    <x v="16"/>
    <x v="7"/>
    <x v="0"/>
    <s v="07233 - ARTHUR VINICIUS MANSANI AMORIM"/>
    <n v="1"/>
    <s v="28/04/2025"/>
    <x v="7"/>
  </r>
  <r>
    <x v="277"/>
    <x v="277"/>
    <s v="ATIVO"/>
    <x v="16"/>
    <x v="7"/>
    <x v="0"/>
    <s v="04540 - BRUNO ALVES SILVA GUSMAO"/>
    <n v="1"/>
    <s v="12/03/2015"/>
    <x v="8"/>
  </r>
  <r>
    <x v="278"/>
    <x v="278"/>
    <s v="ATIVO"/>
    <x v="16"/>
    <x v="7"/>
    <x v="0"/>
    <s v="04959 - CARLIANE DAS VIRGENS ALBERTO"/>
    <n v="1"/>
    <s v="14/10/2019"/>
    <x v="9"/>
  </r>
  <r>
    <x v="279"/>
    <x v="279"/>
    <s v="FERIAS"/>
    <x v="15"/>
    <x v="7"/>
    <x v="0"/>
    <s v="05017 - DANIEL SOUZA BOAVENTURA"/>
    <n v="1"/>
    <s v="28/10/2020"/>
    <x v="10"/>
  </r>
  <r>
    <x v="280"/>
    <x v="280"/>
    <s v="FERIAS"/>
    <x v="16"/>
    <x v="7"/>
    <x v="0"/>
    <s v="03642 - DAVID DE OLIVEIRA SENA"/>
    <n v="1"/>
    <s v="08/10/2010"/>
    <x v="11"/>
  </r>
  <r>
    <x v="281"/>
    <x v="281"/>
    <s v="ATIVO"/>
    <x v="15"/>
    <x v="7"/>
    <x v="0"/>
    <s v="03102 - DIOGO FERREIRA DE OLIVEIRA NETO"/>
    <n v="1"/>
    <s v="20/08/2008"/>
    <x v="12"/>
  </r>
  <r>
    <x v="282"/>
    <x v="282"/>
    <s v="ATIVO"/>
    <x v="17"/>
    <x v="7"/>
    <x v="0"/>
    <s v="07191 - DIOVANE ARAUJO DOS SANTOS"/>
    <n v="1"/>
    <s v="15/10/2024"/>
    <x v="13"/>
  </r>
  <r>
    <x v="283"/>
    <x v="283"/>
    <s v="ATIVO"/>
    <x v="17"/>
    <x v="7"/>
    <x v="0"/>
    <s v="07104 - EDIVALDO DOS SANTOS SILVA"/>
    <n v="1"/>
    <s v="08/03/2024"/>
    <x v="14"/>
  </r>
  <r>
    <x v="284"/>
    <x v="284"/>
    <s v="ATIVO"/>
    <x v="15"/>
    <x v="7"/>
    <x v="0"/>
    <s v="05011 - EDIVANDO SANTOS DE JESUS"/>
    <n v="1"/>
    <s v="15/09/2020"/>
    <x v="15"/>
  </r>
  <r>
    <x v="285"/>
    <x v="285"/>
    <s v="ATIVO"/>
    <x v="16"/>
    <x v="7"/>
    <x v="0"/>
    <s v="01234 - EDMILSON OLIVEIRA BISPO"/>
    <n v="1"/>
    <s v="01/09/1998"/>
    <x v="16"/>
  </r>
  <r>
    <x v="286"/>
    <x v="286"/>
    <s v="ATIVO"/>
    <x v="16"/>
    <x v="7"/>
    <x v="0"/>
    <s v="03972 - ELENILTON NEVES DOS SANTOS"/>
    <n v="1"/>
    <s v="18/04/2012"/>
    <x v="17"/>
  </r>
  <r>
    <x v="287"/>
    <x v="287"/>
    <s v="ATIVO"/>
    <x v="16"/>
    <x v="7"/>
    <x v="0"/>
    <s v="05093 - ELIZEU SANTOS ALVES"/>
    <n v="1"/>
    <s v="22/03/2022"/>
    <x v="18"/>
  </r>
  <r>
    <x v="288"/>
    <x v="288"/>
    <s v="ATIVO"/>
    <x v="14"/>
    <x v="7"/>
    <x v="1"/>
    <s v="04935 - ERIVALDO MESSIAS DOS SANTOS"/>
    <n v="1"/>
    <s v="22/05/2019"/>
    <x v="19"/>
  </r>
  <r>
    <x v="289"/>
    <x v="289"/>
    <s v="FERIAS"/>
    <x v="16"/>
    <x v="7"/>
    <x v="0"/>
    <s v="03094 - FABIO SEVERINO DA SILVA ALVES"/>
    <n v="1"/>
    <s v="01/08/2008"/>
    <x v="20"/>
  </r>
  <r>
    <x v="290"/>
    <x v="290"/>
    <s v="ATIVO"/>
    <x v="16"/>
    <x v="7"/>
    <x v="0"/>
    <s v="07028 - FERNANDO PEREIRA OLIVEIRA"/>
    <n v="1"/>
    <s v="13/03/2023"/>
    <x v="21"/>
  </r>
  <r>
    <x v="291"/>
    <x v="291"/>
    <s v="ATIVO"/>
    <x v="17"/>
    <x v="7"/>
    <x v="0"/>
    <s v="07107 - FLAVIO BARBOZA REIS"/>
    <n v="1"/>
    <s v="08/03/2024"/>
    <x v="22"/>
  </r>
  <r>
    <x v="292"/>
    <x v="292"/>
    <s v="ATIVO"/>
    <x v="14"/>
    <x v="7"/>
    <x v="1"/>
    <s v="06092 - JAIR RAMOS SILVA"/>
    <n v="1"/>
    <s v="27/09/2022"/>
    <x v="23"/>
  </r>
  <r>
    <x v="293"/>
    <x v="293"/>
    <s v="ATIVO"/>
    <x v="14"/>
    <x v="7"/>
    <x v="1"/>
    <s v="04147 - JAIRTON MERCES DOS SANTOS"/>
    <n v="1"/>
    <s v="01/10/2012"/>
    <x v="24"/>
  </r>
  <r>
    <x v="294"/>
    <x v="294"/>
    <s v="ATIVO"/>
    <x v="16"/>
    <x v="7"/>
    <x v="0"/>
    <s v="07111 - JAIZA DOS SANTOS DE JESUS"/>
    <n v="1"/>
    <s v="14/03/2024"/>
    <x v="25"/>
  </r>
  <r>
    <x v="295"/>
    <x v="295"/>
    <s v="ATIVO"/>
    <x v="17"/>
    <x v="7"/>
    <x v="0"/>
    <s v="07203 - JANUARIO DE JESUS"/>
    <n v="1"/>
    <s v="28/11/2024"/>
    <x v="26"/>
  </r>
  <r>
    <x v="296"/>
    <x v="296"/>
    <s v="ATIVO"/>
    <x v="17"/>
    <x v="7"/>
    <x v="0"/>
    <s v="04765 - JEANDSON SANTOS E SANTOS"/>
    <n v="1"/>
    <s v="21/02/2018"/>
    <x v="27"/>
  </r>
  <r>
    <x v="297"/>
    <x v="297"/>
    <s v="ATIVO"/>
    <x v="16"/>
    <x v="7"/>
    <x v="0"/>
    <s v="07021 - JEREMIAS GOMES FERREIRA"/>
    <n v="1"/>
    <s v="17/01/2023"/>
    <x v="28"/>
  </r>
  <r>
    <x v="298"/>
    <x v="298"/>
    <s v="ATIVO"/>
    <x v="16"/>
    <x v="7"/>
    <x v="0"/>
    <s v="07245 - JOAN ROBERTY ALVES DOS SANTOS"/>
    <n v="1"/>
    <s v="28/04/2025"/>
    <x v="29"/>
  </r>
  <r>
    <x v="299"/>
    <x v="299"/>
    <s v="ATIVO"/>
    <x v="17"/>
    <x v="7"/>
    <x v="0"/>
    <s v="07190 - JOANDERSON SILVA VIEIRA"/>
    <n v="1"/>
    <s v="15/10/2024"/>
    <x v="30"/>
  </r>
  <r>
    <x v="300"/>
    <x v="300"/>
    <s v="ATIVO"/>
    <x v="14"/>
    <x v="7"/>
    <x v="1"/>
    <s v="06006 - JOAO LIMA DE QUEIROZ"/>
    <n v="1"/>
    <s v="11/04/2022"/>
    <x v="31"/>
  </r>
  <r>
    <x v="301"/>
    <x v="301"/>
    <s v="ATIVO"/>
    <x v="16"/>
    <x v="7"/>
    <x v="0"/>
    <s v="03163 - JORGE BARRETO DOS SANTOS"/>
    <n v="1"/>
    <s v="20/10/2008"/>
    <x v="32"/>
  </r>
  <r>
    <x v="302"/>
    <x v="302"/>
    <s v="ATIVO"/>
    <x v="14"/>
    <x v="7"/>
    <x v="1"/>
    <s v="03448 - JOSE CARLOS PEREIRA DA CRUZ"/>
    <n v="1"/>
    <s v="05/02/2010"/>
    <x v="33"/>
  </r>
  <r>
    <x v="303"/>
    <x v="303"/>
    <s v="ATIVO"/>
    <x v="16"/>
    <x v="7"/>
    <x v="0"/>
    <s v="03252 - JOSE RAIMUNDO DE JESUS OLIVEIRA"/>
    <n v="1"/>
    <s v="19/05/2009"/>
    <x v="34"/>
  </r>
  <r>
    <x v="304"/>
    <x v="304"/>
    <s v="ATIVO"/>
    <x v="16"/>
    <x v="7"/>
    <x v="0"/>
    <s v="03964 - JOSEVALDO DE ALMEIDA SANTOS"/>
    <n v="1"/>
    <s v="27/03/2012"/>
    <x v="35"/>
  </r>
  <r>
    <x v="305"/>
    <x v="305"/>
    <s v="ATIVO"/>
    <x v="14"/>
    <x v="7"/>
    <x v="1"/>
    <s v="06064 - JOSIANE DE JESUS"/>
    <n v="1"/>
    <s v="08/06/2022"/>
    <x v="36"/>
  </r>
  <r>
    <x v="306"/>
    <x v="306"/>
    <s v="ATIVO"/>
    <x v="15"/>
    <x v="7"/>
    <x v="0"/>
    <s v="03792 - JUCELINO PEREIRA LOPES"/>
    <n v="1"/>
    <s v="08/08/2011"/>
    <x v="37"/>
  </r>
  <r>
    <x v="307"/>
    <x v="307"/>
    <s v="ATIVO"/>
    <x v="16"/>
    <x v="7"/>
    <x v="0"/>
    <s v="03966 - LEANDRO DE ALMEIDA DOS SANTOS"/>
    <n v="1"/>
    <s v="04/04/2012"/>
    <x v="38"/>
  </r>
  <r>
    <x v="308"/>
    <x v="308"/>
    <s v="ATIVO"/>
    <x v="17"/>
    <x v="7"/>
    <x v="0"/>
    <s v="03703 - LUIS SANTOS GONCALVES"/>
    <n v="1"/>
    <s v="03/01/2011"/>
    <x v="39"/>
  </r>
  <r>
    <x v="309"/>
    <x v="309"/>
    <s v="ATIVO"/>
    <x v="17"/>
    <x v="7"/>
    <x v="0"/>
    <s v="07110 - LUIZ FELIPE OLIVEIRA LIMA"/>
    <n v="1"/>
    <s v="08/03/2024"/>
    <x v="40"/>
  </r>
  <r>
    <x v="310"/>
    <x v="310"/>
    <s v="ATIVO"/>
    <x v="14"/>
    <x v="7"/>
    <x v="1"/>
    <s v="04108 - MANOEL DE JESUS"/>
    <n v="1"/>
    <s v="03/09/2012"/>
    <x v="41"/>
  </r>
  <r>
    <x v="311"/>
    <x v="311"/>
    <s v="ATIVO"/>
    <x v="16"/>
    <x v="7"/>
    <x v="0"/>
    <s v="04633 - MANOEL PEREIRA DOS SANTOS"/>
    <n v="1"/>
    <s v="06/11/2015"/>
    <x v="42"/>
  </r>
  <r>
    <x v="312"/>
    <x v="312"/>
    <s v="ATIVO"/>
    <x v="16"/>
    <x v="7"/>
    <x v="0"/>
    <s v="07232 - MATEUS DE JESUS SOUZA"/>
    <n v="1"/>
    <s v="28/04/2025"/>
    <x v="43"/>
  </r>
  <r>
    <x v="313"/>
    <x v="313"/>
    <s v="ATIVO"/>
    <x v="17"/>
    <x v="7"/>
    <x v="0"/>
    <s v="07105 - MOISES SANTOS DE BRITO"/>
    <n v="1"/>
    <s v="08/03/2024"/>
    <x v="44"/>
  </r>
  <r>
    <x v="314"/>
    <x v="314"/>
    <s v="ATIVO"/>
    <x v="16"/>
    <x v="7"/>
    <x v="0"/>
    <s v="04332 - NATANAEL DE OLIVEIRA CRUZ"/>
    <n v="1"/>
    <s v="01/10/2013"/>
    <x v="45"/>
  </r>
  <r>
    <x v="315"/>
    <x v="315"/>
    <s v="ATIVO"/>
    <x v="16"/>
    <x v="7"/>
    <x v="0"/>
    <s v="03558 - OSVALDO MOREIRA DOS SANTOS"/>
    <n v="1"/>
    <s v="04/08/2010"/>
    <x v="46"/>
  </r>
  <r>
    <x v="316"/>
    <x v="316"/>
    <s v="ATIVO"/>
    <x v="16"/>
    <x v="7"/>
    <x v="0"/>
    <s v="01730 - OTAVIO DE JESUS TEIXEIRA"/>
    <n v="1"/>
    <s v="10/10/2003"/>
    <x v="47"/>
  </r>
  <r>
    <x v="317"/>
    <x v="317"/>
    <s v="ATIVO"/>
    <x v="16"/>
    <x v="7"/>
    <x v="0"/>
    <s v="07027 - PEDRO HENRIQUE LOPES OLIVEIRA"/>
    <n v="1"/>
    <s v="13/03/2023"/>
    <x v="48"/>
  </r>
  <r>
    <x v="318"/>
    <x v="318"/>
    <s v="ATIVO"/>
    <x v="14"/>
    <x v="7"/>
    <x v="1"/>
    <s v="04215 - RAIMUNDO LIMA DOS SANTOS"/>
    <n v="1"/>
    <s v="17/05/2013"/>
    <x v="49"/>
  </r>
  <r>
    <x v="319"/>
    <x v="319"/>
    <s v="ATIVO"/>
    <x v="17"/>
    <x v="7"/>
    <x v="0"/>
    <s v="04896 - REGINALDO DA CONCEICAO ESTEVOS"/>
    <n v="1"/>
    <s v="17/10/2018"/>
    <x v="50"/>
  </r>
  <r>
    <x v="320"/>
    <x v="320"/>
    <s v="ATIVO"/>
    <x v="16"/>
    <x v="7"/>
    <x v="0"/>
    <s v="04220 - RENILTON DE LIMA GOMES"/>
    <n v="1"/>
    <s v="19/06/2013"/>
    <x v="51"/>
  </r>
  <r>
    <x v="321"/>
    <x v="321"/>
    <s v="ATIVO"/>
    <x v="14"/>
    <x v="7"/>
    <x v="1"/>
    <s v="03274 - ROBSON OLIVEIRA DE SOUZA"/>
    <n v="1"/>
    <s v="10/08/2009"/>
    <x v="52"/>
  </r>
  <r>
    <x v="322"/>
    <x v="322"/>
    <s v="ATIVO"/>
    <x v="15"/>
    <x v="7"/>
    <x v="0"/>
    <s v="04707 - ROGERIO DA SILVA SANTOS"/>
    <n v="1"/>
    <s v="10/02/2017"/>
    <x v="53"/>
  </r>
  <r>
    <x v="323"/>
    <x v="323"/>
    <s v="ATIVO"/>
    <x v="15"/>
    <x v="7"/>
    <x v="0"/>
    <s v="06016 - SILAS DE SOUZA ALVES"/>
    <n v="1"/>
    <s v="10/05/2022"/>
    <x v="54"/>
  </r>
  <r>
    <x v="324"/>
    <x v="324"/>
    <s v="ATIVO"/>
    <x v="16"/>
    <x v="7"/>
    <x v="0"/>
    <s v="02451 - SILIO SOARES MONTEIRO"/>
    <n v="1"/>
    <s v="08/02/2006"/>
    <x v="55"/>
  </r>
  <r>
    <x v="325"/>
    <x v="325"/>
    <s v="ATIVO"/>
    <x v="15"/>
    <x v="7"/>
    <x v="0"/>
    <s v="02255 - UBIRATAN DOS SANTOS MENDES"/>
    <n v="1"/>
    <s v="19/08/2005"/>
    <x v="56"/>
  </r>
  <r>
    <x v="326"/>
    <x v="326"/>
    <s v="ATIVO"/>
    <x v="15"/>
    <x v="7"/>
    <x v="0"/>
    <s v="01385 - VALERIANO DE JESUS ALVES"/>
    <n v="1"/>
    <s v="07/05/2001"/>
    <x v="57"/>
  </r>
  <r>
    <x v="327"/>
    <x v="327"/>
    <s v="ATIVO"/>
    <x v="14"/>
    <x v="7"/>
    <x v="1"/>
    <s v="00903 - VALTER FRANCISCO DE JESUS SILVA"/>
    <n v="1"/>
    <s v="21/03/1996"/>
    <x v="58"/>
  </r>
  <r>
    <x v="328"/>
    <x v="328"/>
    <s v="ATIVO"/>
    <x v="18"/>
    <x v="8"/>
    <x v="0"/>
    <s v="00986 - ADAILTON ALMEIDA AMORIM"/>
    <n v="1"/>
    <s v="05/09/1996"/>
    <x v="0"/>
  </r>
  <r>
    <x v="329"/>
    <x v="329"/>
    <s v="ATIVO"/>
    <x v="19"/>
    <x v="8"/>
    <x v="0"/>
    <s v="01743 - ADRIANA DE JESUS LACERDA COSTA"/>
    <n v="1"/>
    <s v="12/07/2004"/>
    <x v="1"/>
  </r>
  <r>
    <x v="330"/>
    <x v="330"/>
    <s v="ATIVO"/>
    <x v="20"/>
    <x v="8"/>
    <x v="0"/>
    <s v="07126 - ALEX MENEZES DA SILVA"/>
    <n v="1"/>
    <s v="17/04/2024"/>
    <x v="2"/>
  </r>
  <r>
    <x v="331"/>
    <x v="331"/>
    <s v="ATIVO"/>
    <x v="19"/>
    <x v="8"/>
    <x v="0"/>
    <s v="04551 - ALEXANDRE SANTOS DA SILVA"/>
    <n v="1"/>
    <s v="08/04/2015"/>
    <x v="3"/>
  </r>
  <r>
    <x v="332"/>
    <x v="332"/>
    <s v="ATIVO"/>
    <x v="19"/>
    <x v="8"/>
    <x v="0"/>
    <s v="07129 - ALINE DA SILVA CARNEIRO"/>
    <n v="1"/>
    <s v="17/04/2024"/>
    <x v="4"/>
  </r>
  <r>
    <x v="333"/>
    <x v="333"/>
    <s v="ATIVO"/>
    <x v="19"/>
    <x v="8"/>
    <x v="0"/>
    <s v="02797 - ANA LEIDE VIEIRA DOS SANTOS"/>
    <n v="1"/>
    <s v="25/09/2006"/>
    <x v="5"/>
  </r>
  <r>
    <x v="334"/>
    <x v="334"/>
    <s v="ATIVO"/>
    <x v="21"/>
    <x v="8"/>
    <x v="0"/>
    <s v="00697 - ANA MARIA DE JESUS SANTOS"/>
    <n v="1"/>
    <s v="21/03/1996"/>
    <x v="6"/>
  </r>
  <r>
    <x v="335"/>
    <x v="335"/>
    <s v="ATIVO"/>
    <x v="20"/>
    <x v="8"/>
    <x v="0"/>
    <s v="07278 - ANDRE DILSON PEREIRA DE SANTANA"/>
    <n v="1"/>
    <s v="10/12/2025"/>
    <x v="7"/>
  </r>
  <r>
    <x v="336"/>
    <x v="336"/>
    <s v="ATIVO"/>
    <x v="18"/>
    <x v="8"/>
    <x v="0"/>
    <s v="04989 - ANTONIO CARLOS ANDRADE ALMEIDA"/>
    <n v="1"/>
    <s v="13/04/2020"/>
    <x v="8"/>
  </r>
  <r>
    <x v="337"/>
    <x v="337"/>
    <s v="FERIAS"/>
    <x v="20"/>
    <x v="8"/>
    <x v="0"/>
    <s v="02798 - BERNARDINO DE JESUS MIRANDA"/>
    <n v="1"/>
    <s v="25/09/2006"/>
    <x v="9"/>
  </r>
  <r>
    <x v="338"/>
    <x v="338"/>
    <s v="ATIVO"/>
    <x v="22"/>
    <x v="8"/>
    <x v="0"/>
    <s v="07144 - BRENDA EMANUELLE DE SOUZA RIBEIRO"/>
    <n v="1"/>
    <s v="29/04/2024"/>
    <x v="10"/>
  </r>
  <r>
    <x v="339"/>
    <x v="339"/>
    <s v="ATIVO"/>
    <x v="20"/>
    <x v="8"/>
    <x v="0"/>
    <s v="07137 - BRENO FERREIRA CARDOSO"/>
    <n v="1"/>
    <s v="17/04/2024"/>
    <x v="11"/>
  </r>
  <r>
    <x v="340"/>
    <x v="340"/>
    <s v="ATIVO"/>
    <x v="20"/>
    <x v="8"/>
    <x v="0"/>
    <s v="07270 - CARLOS ANDRE PEREIRA GOMES PORTO"/>
    <n v="1"/>
    <s v="10/12/2025"/>
    <x v="12"/>
  </r>
  <r>
    <x v="341"/>
    <x v="341"/>
    <s v="ATIVO"/>
    <x v="19"/>
    <x v="8"/>
    <x v="0"/>
    <s v="04519 - CARLOS DE JESUS DOS SANTOS"/>
    <n v="1"/>
    <s v="15/01/2015"/>
    <x v="13"/>
  </r>
  <r>
    <x v="342"/>
    <x v="342"/>
    <s v="ATIVO"/>
    <x v="19"/>
    <x v="8"/>
    <x v="0"/>
    <s v="01908 - CELESTE BORGES ARAUJO DOS SANTOS"/>
    <n v="1"/>
    <s v="05/10/2004"/>
    <x v="14"/>
  </r>
  <r>
    <x v="343"/>
    <x v="343"/>
    <s v="ATIVO"/>
    <x v="21"/>
    <x v="8"/>
    <x v="0"/>
    <s v="07214 - CLEITON DOS SANTOS CRUZ"/>
    <n v="1"/>
    <s v="04/02/2025"/>
    <x v="15"/>
  </r>
  <r>
    <x v="344"/>
    <x v="344"/>
    <s v="ATIVO"/>
    <x v="21"/>
    <x v="8"/>
    <x v="0"/>
    <s v="01553 - CRISPINIANA DE JESUS SANTOS"/>
    <n v="1"/>
    <s v="19/03/2003"/>
    <x v="16"/>
  </r>
  <r>
    <x v="345"/>
    <x v="345"/>
    <s v="ATIVO"/>
    <x v="19"/>
    <x v="8"/>
    <x v="0"/>
    <s v="01751 - CRISPINIANA OLIVEIRA DA SILVA"/>
    <n v="1"/>
    <s v="12/07/2004"/>
    <x v="17"/>
  </r>
  <r>
    <x v="346"/>
    <x v="346"/>
    <s v="ATIVO"/>
    <x v="23"/>
    <x v="8"/>
    <x v="0"/>
    <s v="07221 - DAVIDSON PATRICK OLIVEIRA ALBUQUERQUE"/>
    <n v="1"/>
    <s v="12/03/2025"/>
    <x v="18"/>
  </r>
  <r>
    <x v="347"/>
    <x v="347"/>
    <s v="ATIVO"/>
    <x v="20"/>
    <x v="8"/>
    <x v="0"/>
    <s v="07225 - EDIELSON GAMA DE SOUZA"/>
    <n v="1"/>
    <s v="12/03/2025"/>
    <x v="19"/>
  </r>
  <r>
    <x v="348"/>
    <x v="348"/>
    <s v="ATIVO"/>
    <x v="19"/>
    <x v="8"/>
    <x v="0"/>
    <s v="02276 - EDILMA DOS SANTOS BRITO"/>
    <n v="1"/>
    <s v="01/09/2005"/>
    <x v="20"/>
  </r>
  <r>
    <x v="349"/>
    <x v="349"/>
    <s v="ATIVO"/>
    <x v="18"/>
    <x v="8"/>
    <x v="0"/>
    <s v="07033 - EDILSON DOS RAMOS"/>
    <n v="1"/>
    <s v="24/04/2023"/>
    <x v="21"/>
  </r>
  <r>
    <x v="350"/>
    <x v="350"/>
    <s v="ATIVO"/>
    <x v="19"/>
    <x v="8"/>
    <x v="0"/>
    <s v="02388 - EDISON DE JESUS SANTOS"/>
    <n v="1"/>
    <s v="01/11/2005"/>
    <x v="22"/>
  </r>
  <r>
    <x v="351"/>
    <x v="351"/>
    <s v="ATIVO"/>
    <x v="19"/>
    <x v="8"/>
    <x v="0"/>
    <s v="03225 - EDIVAN DE SOUZA SILVA"/>
    <n v="1"/>
    <s v="09/03/2009"/>
    <x v="23"/>
  </r>
  <r>
    <x v="352"/>
    <x v="352"/>
    <s v="ATIVO"/>
    <x v="19"/>
    <x v="8"/>
    <x v="0"/>
    <s v="02841 - ELIANA SILVA DE ARAUJO"/>
    <n v="1"/>
    <s v="23/01/2007"/>
    <x v="24"/>
  </r>
  <r>
    <x v="353"/>
    <x v="353"/>
    <s v="ATIVO"/>
    <x v="19"/>
    <x v="8"/>
    <x v="0"/>
    <s v="02884 - ELIAS DE SOUZA NASCIMENTO"/>
    <n v="1"/>
    <s v="01/03/2007"/>
    <x v="25"/>
  </r>
  <r>
    <x v="354"/>
    <x v="354"/>
    <s v="ATIVO"/>
    <x v="19"/>
    <x v="8"/>
    <x v="0"/>
    <s v="00839 - ELIZETE SILVA AMORIM"/>
    <n v="1"/>
    <s v="01/04/1996"/>
    <x v="26"/>
  </r>
  <r>
    <x v="355"/>
    <x v="355"/>
    <s v="ATIVO"/>
    <x v="20"/>
    <x v="8"/>
    <x v="0"/>
    <s v="07273 - EMERSON JOAQUIM COSTA DE CARVALHO"/>
    <n v="1"/>
    <s v="10/12/2025"/>
    <x v="27"/>
  </r>
  <r>
    <x v="356"/>
    <x v="356"/>
    <s v="ATIVO"/>
    <x v="22"/>
    <x v="8"/>
    <x v="0"/>
    <s v="04966 - EMERSON SOUZA SILVA"/>
    <n v="1"/>
    <s v="11/11/2019"/>
    <x v="28"/>
  </r>
  <r>
    <x v="357"/>
    <x v="357"/>
    <s v="ATIVO"/>
    <x v="19"/>
    <x v="8"/>
    <x v="0"/>
    <s v="06088 - ERON SANTOS PEREIRA"/>
    <n v="1"/>
    <s v="19/09/2022"/>
    <x v="29"/>
  </r>
  <r>
    <x v="358"/>
    <x v="358"/>
    <s v="ATIVO"/>
    <x v="18"/>
    <x v="8"/>
    <x v="0"/>
    <s v="07179 - FRANCISCO ALVES DA SILVA NETO"/>
    <n v="1"/>
    <s v="20/08/2024"/>
    <x v="30"/>
  </r>
  <r>
    <x v="359"/>
    <x v="359"/>
    <s v="ATIVO"/>
    <x v="19"/>
    <x v="8"/>
    <x v="0"/>
    <s v="07009 - GABRIEL DAS VIRGENS OLIVEIRA"/>
    <n v="1"/>
    <s v="08/12/2022"/>
    <x v="31"/>
  </r>
  <r>
    <x v="360"/>
    <x v="360"/>
    <s v="ATIVO"/>
    <x v="19"/>
    <x v="8"/>
    <x v="0"/>
    <s v="07261 - GABRIELA DO NASCIMENTO RODRIGUES"/>
    <n v="1"/>
    <s v="03/09/2025"/>
    <x v="32"/>
  </r>
  <r>
    <x v="361"/>
    <x v="361"/>
    <s v="ATIVO"/>
    <x v="23"/>
    <x v="8"/>
    <x v="0"/>
    <s v="07133 - GERLANE DOS SANTOS DE JESUS"/>
    <n v="1"/>
    <s v="17/04/2024"/>
    <x v="33"/>
  </r>
  <r>
    <x v="362"/>
    <x v="362"/>
    <s v="ATIVO"/>
    <x v="20"/>
    <x v="8"/>
    <x v="0"/>
    <s v="07254 - HIAGO ALISSON OLIVEIRA PEREIRA"/>
    <n v="1"/>
    <s v="12/08/2025"/>
    <x v="34"/>
  </r>
  <r>
    <x v="363"/>
    <x v="363"/>
    <s v="ATIVO"/>
    <x v="22"/>
    <x v="8"/>
    <x v="0"/>
    <s v="07147 - HIANDRA EVILIN SANTOS SILVA"/>
    <n v="1"/>
    <s v="29/04/2024"/>
    <x v="35"/>
  </r>
  <r>
    <x v="364"/>
    <x v="364"/>
    <s v="ATIVO"/>
    <x v="20"/>
    <x v="8"/>
    <x v="0"/>
    <s v="07255 - IAN BASTOS DE OLIVEIRA"/>
    <n v="1"/>
    <s v="12/08/2025"/>
    <x v="36"/>
  </r>
  <r>
    <x v="365"/>
    <x v="365"/>
    <s v="ATIVO"/>
    <x v="18"/>
    <x v="8"/>
    <x v="0"/>
    <s v="07216 - ISAQUE DOS SANTOS SILVA CONCEICAO"/>
    <n v="1"/>
    <s v="04/02/2025"/>
    <x v="37"/>
  </r>
  <r>
    <x v="366"/>
    <x v="366"/>
    <s v="ATIVO"/>
    <x v="18"/>
    <x v="8"/>
    <x v="0"/>
    <s v="07210 - JAIRCLEDISON DOS SANTOS PORTO"/>
    <n v="1"/>
    <s v="04/02/2025"/>
    <x v="38"/>
  </r>
  <r>
    <x v="367"/>
    <x v="367"/>
    <s v="ATIVO"/>
    <x v="23"/>
    <x v="8"/>
    <x v="0"/>
    <s v="07134 - JENIARIA REIS RIBEIRO"/>
    <n v="1"/>
    <s v="17/04/2024"/>
    <x v="39"/>
  </r>
  <r>
    <x v="368"/>
    <x v="368"/>
    <s v="FERIAS"/>
    <x v="19"/>
    <x v="8"/>
    <x v="0"/>
    <s v="04701 - JOABY BLOIS GOMES"/>
    <n v="1"/>
    <s v="23/12/2016"/>
    <x v="40"/>
  </r>
  <r>
    <x v="369"/>
    <x v="369"/>
    <s v="ATIVO"/>
    <x v="20"/>
    <x v="8"/>
    <x v="0"/>
    <s v="07212 - JOADSON DE JESUS OLIVEIRA"/>
    <n v="1"/>
    <s v="04/02/2025"/>
    <x v="41"/>
  </r>
  <r>
    <x v="370"/>
    <x v="370"/>
    <s v="ATIVO"/>
    <x v="20"/>
    <x v="8"/>
    <x v="0"/>
    <s v="04369 - JOILSON COUTINHO VIRGINIO"/>
    <n v="1"/>
    <s v="01/10/2013"/>
    <x v="42"/>
  </r>
  <r>
    <x v="371"/>
    <x v="371"/>
    <s v="ATIVO"/>
    <x v="20"/>
    <x v="8"/>
    <x v="0"/>
    <s v="07217 - JONAS DOS SANTOS ALVES"/>
    <n v="1"/>
    <s v="04/02/2025"/>
    <x v="43"/>
  </r>
  <r>
    <x v="372"/>
    <x v="372"/>
    <s v="ATIVO"/>
    <x v="19"/>
    <x v="8"/>
    <x v="0"/>
    <s v="07229 - JUANINA DA CRUZ FREITAS"/>
    <n v="1"/>
    <s v="12/03/2025"/>
    <x v="44"/>
  </r>
  <r>
    <x v="373"/>
    <x v="373"/>
    <s v="ATIVO"/>
    <x v="19"/>
    <x v="8"/>
    <x v="0"/>
    <s v="03473 - JUCI DE JESUS COSTA RIBEIRO"/>
    <n v="1"/>
    <s v="23/02/2010"/>
    <x v="45"/>
  </r>
  <r>
    <x v="374"/>
    <x v="374"/>
    <s v="ATIVO"/>
    <x v="23"/>
    <x v="8"/>
    <x v="0"/>
    <s v="05019 - JULIANA DE JESUS LACERDA COSTA"/>
    <n v="1"/>
    <s v="11/11/2020"/>
    <x v="46"/>
  </r>
  <r>
    <x v="375"/>
    <x v="375"/>
    <s v="ATIVO"/>
    <x v="19"/>
    <x v="8"/>
    <x v="0"/>
    <s v="04084 - JULIO RODRIGUES DA SILVA"/>
    <n v="1"/>
    <s v="16/07/2012"/>
    <x v="47"/>
  </r>
  <r>
    <x v="376"/>
    <x v="376"/>
    <s v="FERIAS"/>
    <x v="18"/>
    <x v="8"/>
    <x v="0"/>
    <s v="04736 - JURANDI ALVES PEREIRA"/>
    <n v="1"/>
    <s v="18/08/2017"/>
    <x v="48"/>
  </r>
  <r>
    <x v="377"/>
    <x v="377"/>
    <s v="ATIVO"/>
    <x v="20"/>
    <x v="8"/>
    <x v="0"/>
    <s v="07256 - KAIO FERREIRA DOS SANTOS"/>
    <n v="1"/>
    <s v="12/08/2025"/>
    <x v="49"/>
  </r>
  <r>
    <x v="378"/>
    <x v="378"/>
    <s v="ATIVO"/>
    <x v="23"/>
    <x v="8"/>
    <x v="0"/>
    <s v="04592 - KARINA DE JESUS SANTOS"/>
    <n v="1"/>
    <s v="15/09/2015"/>
    <x v="50"/>
  </r>
  <r>
    <x v="379"/>
    <x v="379"/>
    <s v="ATIVO"/>
    <x v="23"/>
    <x v="8"/>
    <x v="0"/>
    <s v="07136 - LAINA THAILINE CONCEICAO COSTA"/>
    <n v="1"/>
    <s v="17/04/2024"/>
    <x v="51"/>
  </r>
  <r>
    <x v="380"/>
    <x v="380"/>
    <s v="ATIVO"/>
    <x v="19"/>
    <x v="8"/>
    <x v="0"/>
    <s v="04593 - LEIDIANE DE SOUSA SANTOS"/>
    <n v="1"/>
    <s v="15/09/2015"/>
    <x v="52"/>
  </r>
  <r>
    <x v="381"/>
    <x v="381"/>
    <s v="ATIVO"/>
    <x v="23"/>
    <x v="8"/>
    <x v="0"/>
    <s v="06094 - LEIDIVAN MATOS DONA"/>
    <n v="1"/>
    <s v="17/10/2022"/>
    <x v="53"/>
  </r>
  <r>
    <x v="382"/>
    <x v="382"/>
    <s v="ATIVO"/>
    <x v="19"/>
    <x v="8"/>
    <x v="0"/>
    <s v="04039 - LILIA PORTO DOS SANTOS"/>
    <n v="1"/>
    <s v="22/06/2012"/>
    <x v="54"/>
  </r>
  <r>
    <x v="383"/>
    <x v="383"/>
    <s v="ATIVO"/>
    <x v="20"/>
    <x v="8"/>
    <x v="0"/>
    <s v="06020 - LUAN CERQUEIRA DOS SANTOS"/>
    <n v="1"/>
    <s v="10/05/2022"/>
    <x v="55"/>
  </r>
  <r>
    <x v="384"/>
    <x v="384"/>
    <s v="ATIVO"/>
    <x v="18"/>
    <x v="8"/>
    <x v="0"/>
    <s v="07230 - LUAN SANTOS DE JESUS"/>
    <n v="1"/>
    <s v="12/03/2025"/>
    <x v="56"/>
  </r>
  <r>
    <x v="385"/>
    <x v="385"/>
    <s v="ATIVO"/>
    <x v="22"/>
    <x v="8"/>
    <x v="0"/>
    <s v="07030 - LUANA SANTOS DE JESUS"/>
    <n v="1"/>
    <s v="24/04/2023"/>
    <x v="57"/>
  </r>
  <r>
    <x v="386"/>
    <x v="386"/>
    <s v="FERIAS"/>
    <x v="19"/>
    <x v="8"/>
    <x v="0"/>
    <s v="04461 - LUCIANA SOUZA SANTOS"/>
    <n v="1"/>
    <s v="01/08/2014"/>
    <x v="58"/>
  </r>
  <r>
    <x v="387"/>
    <x v="387"/>
    <s v="ATIVO"/>
    <x v="20"/>
    <x v="8"/>
    <x v="0"/>
    <s v="04634 - LUCIANO VILAS BOAS SANTANA"/>
    <n v="1"/>
    <s v="06/11/2015"/>
    <x v="59"/>
  </r>
  <r>
    <x v="388"/>
    <x v="388"/>
    <s v="ATIVO"/>
    <x v="19"/>
    <x v="8"/>
    <x v="0"/>
    <s v="03530 - LUCIENE CORREIA SANTOS"/>
    <n v="1"/>
    <s v="01/06/2010"/>
    <x v="60"/>
  </r>
  <r>
    <x v="389"/>
    <x v="389"/>
    <s v="ATIVO"/>
    <x v="19"/>
    <x v="8"/>
    <x v="0"/>
    <s v="04997 - LUCIEUDA DE OLIVEIRA RODRIGUES"/>
    <n v="1"/>
    <s v="24/07/2020"/>
    <x v="61"/>
  </r>
  <r>
    <x v="390"/>
    <x v="390"/>
    <s v="ATIVO"/>
    <x v="22"/>
    <x v="8"/>
    <x v="0"/>
    <s v="02843 - LUCINEIDE DE JESUS FERREIRA"/>
    <n v="1"/>
    <s v="23/01/2007"/>
    <x v="62"/>
  </r>
  <r>
    <x v="391"/>
    <x v="391"/>
    <s v="ATIVO"/>
    <x v="23"/>
    <x v="8"/>
    <x v="0"/>
    <s v="07156 - LUIS GUSTAVO ALMEIDA DOS SANTOS"/>
    <n v="1"/>
    <s v="13/05/2024"/>
    <x v="63"/>
  </r>
  <r>
    <x v="392"/>
    <x v="392"/>
    <s v="FERIAS"/>
    <x v="21"/>
    <x v="8"/>
    <x v="0"/>
    <s v="04570 - LUIZ FONSECA CARNEIRO"/>
    <n v="1"/>
    <s v="10/08/2015"/>
    <x v="64"/>
  </r>
  <r>
    <x v="393"/>
    <x v="393"/>
    <s v="ATIVO"/>
    <x v="19"/>
    <x v="8"/>
    <x v="0"/>
    <s v="00695 - LUZINALVA ARAUJO DOS SANTOS"/>
    <n v="1"/>
    <s v="21/03/1996"/>
    <x v="65"/>
  </r>
  <r>
    <x v="394"/>
    <x v="394"/>
    <s v="ATIVO"/>
    <x v="19"/>
    <x v="8"/>
    <x v="0"/>
    <s v="02848 - MARCIENE DE JESUS SANTOS"/>
    <n v="1"/>
    <s v="23/01/2007"/>
    <x v="66"/>
  </r>
  <r>
    <x v="395"/>
    <x v="395"/>
    <s v="ATIVO"/>
    <x v="23"/>
    <x v="8"/>
    <x v="0"/>
    <s v="04669 - MARCIO JESUS DA SILVA"/>
    <n v="1"/>
    <s v="11/07/2016"/>
    <x v="67"/>
  </r>
  <r>
    <x v="396"/>
    <x v="396"/>
    <s v="ATIVO"/>
    <x v="19"/>
    <x v="8"/>
    <x v="0"/>
    <s v="01807 - MARIA ANGELA BORGES DOS SANTOS"/>
    <n v="1"/>
    <s v="08/09/2004"/>
    <x v="68"/>
  </r>
  <r>
    <x v="397"/>
    <x v="397"/>
    <s v="ATIVO"/>
    <x v="19"/>
    <x v="8"/>
    <x v="0"/>
    <s v="00349 - MARIA DA CONCEICAO DE JESUS MOREIRA"/>
    <n v="1"/>
    <s v="01/12/1994"/>
    <x v="69"/>
  </r>
  <r>
    <x v="398"/>
    <x v="398"/>
    <s v="ATIVO"/>
    <x v="19"/>
    <x v="8"/>
    <x v="0"/>
    <s v="01270 - MARIA DE LOURDES GONZAGA DE JESUS"/>
    <n v="1"/>
    <s v="01/03/1999"/>
    <x v="70"/>
  </r>
  <r>
    <x v="399"/>
    <x v="399"/>
    <s v="ATIVO"/>
    <x v="21"/>
    <x v="8"/>
    <x v="0"/>
    <s v="01422 - MARIA DO SOCORRO LIMA"/>
    <n v="1"/>
    <s v="12/11/2001"/>
    <x v="71"/>
  </r>
  <r>
    <x v="400"/>
    <x v="400"/>
    <s v="FERIAS"/>
    <x v="21"/>
    <x v="8"/>
    <x v="0"/>
    <s v="01424 - MARIA HELENA SILVA SANTOS"/>
    <n v="1"/>
    <s v="12/11/2001"/>
    <x v="72"/>
  </r>
  <r>
    <x v="401"/>
    <x v="401"/>
    <s v="ATIVO"/>
    <x v="19"/>
    <x v="8"/>
    <x v="0"/>
    <s v="03245 - MARIA RITA DOS SANTOS REIS"/>
    <n v="1"/>
    <s v="04/05/2009"/>
    <x v="73"/>
  </r>
  <r>
    <x v="402"/>
    <x v="402"/>
    <s v="FERIAS"/>
    <x v="19"/>
    <x v="8"/>
    <x v="0"/>
    <s v="03264 - MARILENE DE SOUZA OLIVEIRA ALVES"/>
    <n v="1"/>
    <s v="01/06/2009"/>
    <x v="74"/>
  </r>
  <r>
    <x v="403"/>
    <x v="403"/>
    <s v="ATIVO"/>
    <x v="19"/>
    <x v="8"/>
    <x v="0"/>
    <s v="04325 - MARINALVA TEIXEIRA DE JESUS"/>
    <n v="1"/>
    <s v="01/10/2013"/>
    <x v="75"/>
  </r>
  <r>
    <x v="404"/>
    <x v="404"/>
    <s v="ATIVO"/>
    <x v="24"/>
    <x v="8"/>
    <x v="0"/>
    <s v="00292 - MARIO DE OLIVEIRA GOMES"/>
    <n v="1"/>
    <s v="21/11/1995"/>
    <x v="76"/>
  </r>
  <r>
    <x v="405"/>
    <x v="405"/>
    <s v="ATIVO"/>
    <x v="18"/>
    <x v="8"/>
    <x v="0"/>
    <s v="00188 - MARIVALDO ROCHA DOS SANTOS"/>
    <n v="1"/>
    <s v="01/03/1993"/>
    <x v="77"/>
  </r>
  <r>
    <x v="406"/>
    <x v="406"/>
    <s v="ATIVO"/>
    <x v="20"/>
    <x v="8"/>
    <x v="0"/>
    <s v="07213 - MATEUS FERREIRA MOREIRA"/>
    <n v="1"/>
    <s v="04/02/2025"/>
    <x v="78"/>
  </r>
  <r>
    <x v="407"/>
    <x v="407"/>
    <s v="ATIVO"/>
    <x v="23"/>
    <x v="8"/>
    <x v="0"/>
    <s v="04929 - MAURICIO BRITO DO NASCIMENTO"/>
    <n v="1"/>
    <s v="16/04/2019"/>
    <x v="79"/>
  </r>
  <r>
    <x v="408"/>
    <x v="408"/>
    <s v="ATIVO"/>
    <x v="19"/>
    <x v="8"/>
    <x v="0"/>
    <s v="07130 - NAIANE SANTOS DE SANTANA"/>
    <n v="1"/>
    <s v="17/04/2024"/>
    <x v="80"/>
  </r>
  <r>
    <x v="409"/>
    <x v="409"/>
    <s v="ATIVO"/>
    <x v="23"/>
    <x v="8"/>
    <x v="0"/>
    <s v="07228 - NATIELE DE JESUS MOREIRA"/>
    <n v="1"/>
    <s v="12/03/2025"/>
    <x v="81"/>
  </r>
  <r>
    <x v="410"/>
    <x v="410"/>
    <s v="ATIVO"/>
    <x v="19"/>
    <x v="8"/>
    <x v="0"/>
    <s v="04601 - NILZETE FIGUEIREDO DA SILVA"/>
    <n v="1"/>
    <s v="15/09/2015"/>
    <x v="82"/>
  </r>
  <r>
    <x v="411"/>
    <x v="411"/>
    <s v="ATIVO"/>
    <x v="19"/>
    <x v="8"/>
    <x v="0"/>
    <s v="01432 - NILZETE SANTOS DE JESUS"/>
    <n v="1"/>
    <s v="12/11/2001"/>
    <x v="83"/>
  </r>
  <r>
    <x v="412"/>
    <x v="412"/>
    <s v="ATIVO"/>
    <x v="19"/>
    <x v="8"/>
    <x v="0"/>
    <s v="07065 - NORBERTO DA SILVA OLIVEIRA"/>
    <n v="1"/>
    <s v="19/07/2023"/>
    <x v="84"/>
  </r>
  <r>
    <x v="413"/>
    <x v="413"/>
    <s v="ATIVO"/>
    <x v="23"/>
    <x v="8"/>
    <x v="0"/>
    <s v="07252 - OTAIANE FREITAS TEIXEIRA"/>
    <n v="1"/>
    <s v="12/08/2025"/>
    <x v="85"/>
  </r>
  <r>
    <x v="414"/>
    <x v="414"/>
    <s v="ATIVO"/>
    <x v="23"/>
    <x v="8"/>
    <x v="0"/>
    <s v="07262 - PATRICIA AMORIM PINHEIRO SANTOS"/>
    <n v="1"/>
    <s v="03/09/2025"/>
    <x v="86"/>
  </r>
  <r>
    <x v="415"/>
    <x v="415"/>
    <s v="ATIVO"/>
    <x v="18"/>
    <x v="8"/>
    <x v="0"/>
    <s v="07181 - PAULO RICARDO SILVA DE OLIVEIRA"/>
    <n v="1"/>
    <s v="12/09/2024"/>
    <x v="87"/>
  </r>
  <r>
    <x v="416"/>
    <x v="416"/>
    <s v="ATIVO"/>
    <x v="19"/>
    <x v="8"/>
    <x v="0"/>
    <s v="03875 - RAFAEL DE JESUS COSTA RIBEIRO REIS"/>
    <n v="1"/>
    <s v="12/09/2011"/>
    <x v="88"/>
  </r>
  <r>
    <x v="417"/>
    <x v="417"/>
    <s v="ATIVO"/>
    <x v="20"/>
    <x v="8"/>
    <x v="0"/>
    <s v="07275 - RAMON CARDOSO DOS SANTOS"/>
    <n v="1"/>
    <s v="10/12/2025"/>
    <x v="89"/>
  </r>
  <r>
    <x v="418"/>
    <x v="418"/>
    <s v="LICEN MATERNIDADE"/>
    <x v="19"/>
    <x v="8"/>
    <x v="0"/>
    <s v="07121 - RANIELLI MIKAELLA DA SILVA RIBEIRO"/>
    <n v="1"/>
    <s v="09/04/2024"/>
    <x v="90"/>
  </r>
  <r>
    <x v="419"/>
    <x v="419"/>
    <s v="ATIVO"/>
    <x v="23"/>
    <x v="8"/>
    <x v="0"/>
    <s v="07227 - RAQUEL SILVA DE SOUZA OLIVEIRA"/>
    <n v="1"/>
    <s v="12/03/2025"/>
    <x v="91"/>
  </r>
  <r>
    <x v="420"/>
    <x v="420"/>
    <s v="ATIVO"/>
    <x v="19"/>
    <x v="8"/>
    <x v="0"/>
    <s v="01837 - REGINA OLIVEIRA DOS SANTOS"/>
    <n v="1"/>
    <s v="09/09/2004"/>
    <x v="92"/>
  </r>
  <r>
    <x v="421"/>
    <x v="421"/>
    <s v="FERIAS"/>
    <x v="19"/>
    <x v="8"/>
    <x v="0"/>
    <s v="01772 - ROSANGELA DO ESPIRITO SANTO BORGES"/>
    <n v="1"/>
    <s v="12/07/2004"/>
    <x v="93"/>
  </r>
  <r>
    <x v="422"/>
    <x v="422"/>
    <s v="ATIVO"/>
    <x v="19"/>
    <x v="8"/>
    <x v="0"/>
    <s v="07253 - ROSISLANE DE SOUZA MARQUES"/>
    <n v="1"/>
    <s v="12/08/2025"/>
    <x v="94"/>
  </r>
  <r>
    <x v="423"/>
    <x v="423"/>
    <s v="ATIVO"/>
    <x v="19"/>
    <x v="8"/>
    <x v="0"/>
    <s v="01509 - SILVIA MARIA BASTOS DOS SANTOS"/>
    <n v="1"/>
    <s v="02/12/2002"/>
    <x v="95"/>
  </r>
  <r>
    <x v="424"/>
    <x v="424"/>
    <s v="ATIVO"/>
    <x v="19"/>
    <x v="8"/>
    <x v="0"/>
    <s v="01271 - SIMONE SANTANA DE JESUS"/>
    <n v="1"/>
    <s v="01/03/1999"/>
    <x v="96"/>
  </r>
  <r>
    <x v="425"/>
    <x v="425"/>
    <s v="ATIVO"/>
    <x v="19"/>
    <x v="8"/>
    <x v="0"/>
    <s v="04471 - TATIANE AMORIM DOS SANTOS"/>
    <n v="1"/>
    <s v="01/08/2014"/>
    <x v="97"/>
  </r>
  <r>
    <x v="426"/>
    <x v="426"/>
    <s v="ATIVO"/>
    <x v="19"/>
    <x v="8"/>
    <x v="0"/>
    <s v="04096 - TELMA RIBEIRO COSTA"/>
    <n v="1"/>
    <s v="16/07/2012"/>
    <x v="98"/>
  </r>
  <r>
    <x v="427"/>
    <x v="427"/>
    <s v="ATIVO"/>
    <x v="18"/>
    <x v="8"/>
    <x v="0"/>
    <s v="07127 - VAGNER DE JESUS FERREIRA"/>
    <n v="1"/>
    <s v="17/04/2024"/>
    <x v="99"/>
  </r>
  <r>
    <x v="428"/>
    <x v="428"/>
    <s v="ATIVO"/>
    <x v="22"/>
    <x v="8"/>
    <x v="0"/>
    <s v="07034 - VALMIR OLIVEIRA DOS SANTOS"/>
    <n v="1"/>
    <s v="24/04/2023"/>
    <x v="100"/>
  </r>
  <r>
    <x v="429"/>
    <x v="429"/>
    <s v="ATIVO"/>
    <x v="23"/>
    <x v="8"/>
    <x v="0"/>
    <s v="07222 - VINICIUS OLIVEIRA ARAUJO"/>
    <n v="1"/>
    <s v="12/03/2025"/>
    <x v="101"/>
  </r>
  <r>
    <x v="430"/>
    <x v="430"/>
    <s v="ATIVO"/>
    <x v="25"/>
    <x v="9"/>
    <x v="1"/>
    <s v="07188 - ALANDA DE JESUS RIBEIRO"/>
    <n v="1"/>
    <s v="20/09/2024"/>
    <x v="0"/>
  </r>
  <r>
    <x v="431"/>
    <x v="431"/>
    <s v="ATIVO"/>
    <x v="25"/>
    <x v="9"/>
    <x v="1"/>
    <s v="07187 - ANA CAROLINE FERREIRA ALVES"/>
    <n v="1"/>
    <s v="20/09/2024"/>
    <x v="1"/>
  </r>
  <r>
    <x v="432"/>
    <x v="432"/>
    <s v="ATIVO"/>
    <x v="26"/>
    <x v="9"/>
    <x v="1"/>
    <s v="04721 - CARLOS EDUARDO SILVA DE OLIVEIRA"/>
    <n v="1"/>
    <s v="17/05/2017"/>
    <x v="2"/>
  </r>
  <r>
    <x v="433"/>
    <x v="433"/>
    <s v="ATIVO"/>
    <x v="26"/>
    <x v="9"/>
    <x v="1"/>
    <s v="03396 - CESAR AUGUSTO LOPES DOS SANTOS"/>
    <n v="1"/>
    <s v="19/10/2009"/>
    <x v="3"/>
  </r>
  <r>
    <x v="434"/>
    <x v="434"/>
    <s v="ATIVO"/>
    <x v="25"/>
    <x v="9"/>
    <x v="1"/>
    <s v="03647 - HOSANA DE JESUS SILVA"/>
    <n v="1"/>
    <s v="22/11/2010"/>
    <x v="4"/>
  </r>
  <r>
    <x v="435"/>
    <x v="435"/>
    <s v="ATIVO"/>
    <x v="25"/>
    <x v="9"/>
    <x v="1"/>
    <s v="04566 - JOSE ANTONIO DA SILVA"/>
    <n v="1"/>
    <s v="15/07/2015"/>
    <x v="5"/>
  </r>
  <r>
    <x v="436"/>
    <x v="436"/>
    <s v="ATIVO"/>
    <x v="26"/>
    <x v="9"/>
    <x v="1"/>
    <s v="01286 - JOSEVALDO DIAS DO CARMO"/>
    <n v="1"/>
    <s v="01/04/1999"/>
    <x v="6"/>
  </r>
  <r>
    <x v="437"/>
    <x v="437"/>
    <s v="ATIVO"/>
    <x v="25"/>
    <x v="9"/>
    <x v="1"/>
    <s v="04423 - LUCITANIA DA CRUZ CERQUEIRA SANTOS"/>
    <n v="1"/>
    <s v="09/04/2014"/>
    <x v="7"/>
  </r>
  <r>
    <x v="438"/>
    <x v="438"/>
    <s v="ATIVO"/>
    <x v="25"/>
    <x v="9"/>
    <x v="1"/>
    <s v="03648 - LUCIVALDO DOS SANTOS LIMA"/>
    <n v="1"/>
    <s v="01/12/2010"/>
    <x v="8"/>
  </r>
  <r>
    <x v="439"/>
    <x v="439"/>
    <s v="FERIAS"/>
    <x v="25"/>
    <x v="9"/>
    <x v="1"/>
    <s v="01139 - MARISA RIBEIRO DA CRUZ"/>
    <n v="1"/>
    <s v="01/09/1997"/>
    <x v="9"/>
  </r>
  <r>
    <x v="440"/>
    <x v="440"/>
    <s v="ATIVO"/>
    <x v="25"/>
    <x v="9"/>
    <x v="1"/>
    <s v="06000 - MATHEUS SANTOS DA SILVA"/>
    <n v="1"/>
    <s v="28/03/2022"/>
    <x v="10"/>
  </r>
  <r>
    <x v="441"/>
    <x v="441"/>
    <s v="ATIVO"/>
    <x v="25"/>
    <x v="9"/>
    <x v="1"/>
    <s v="06026 - PRISCILA RABELLO SILVA BOMFIM"/>
    <n v="1"/>
    <s v="16/05/2022"/>
    <x v="11"/>
  </r>
  <r>
    <x v="442"/>
    <x v="442"/>
    <s v="ATIVO"/>
    <x v="25"/>
    <x v="9"/>
    <x v="1"/>
    <s v="07097 - ROSANE PEREIRA SOUZA VENAS"/>
    <n v="1"/>
    <s v="19/01/2024"/>
    <x v="12"/>
  </r>
  <r>
    <x v="443"/>
    <x v="443"/>
    <s v="ATIVO"/>
    <x v="25"/>
    <x v="9"/>
    <x v="1"/>
    <s v="04144 - ROSELI DO ESPIRITO SANTO BORGES OLIVEIRA"/>
    <n v="1"/>
    <s v="03/09/2012"/>
    <x v="13"/>
  </r>
  <r>
    <x v="444"/>
    <x v="444"/>
    <s v="ATIVO"/>
    <x v="26"/>
    <x v="9"/>
    <x v="1"/>
    <s v="03440 - VITORIANO BISPO DOS SANTOS FILHO"/>
    <n v="1"/>
    <s v="08/12/2009"/>
    <x v="14"/>
  </r>
</pivotCacheRecord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F36ED9C-2F48-497D-9F26-93906639A511}" autoFormatId="16" applyNumberFormats="0" applyBorderFormats="0" applyFontFormats="0" applyPatternFormats="0" applyAlignmentFormats="0" applyWidthHeightFormats="0">
  <queryTableRefresh nextId="28">
    <queryTableFields count="5">
      <queryTableField id="22" name="matrícula" tableColumnId="2"/>
      <queryTableField id="23" name="nome" tableColumnId="4"/>
      <queryTableField id="3" name="SETOR" tableColumnId="3"/>
      <queryTableField id="24" name="distribuição" tableColumnId="5"/>
      <queryTableField id="25" name="Admissã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STA_PERTENCENTE1" xr10:uid="{E88AE9E2-45E8-4BC7-9C4F-587CF89FC8C0}" sourceName="LISTA PERTENCENTE">
  <data>
    <tabular pivotCacheId="1458252654">
      <items count="10">
        <i x="0"/>
        <i x="1"/>
        <i x="2"/>
        <i x="3"/>
        <i x="4"/>
        <i x="5"/>
        <i x="6"/>
        <i x="7"/>
        <i x="8" s="1"/>
        <i x="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STA PERTENCENTE 7" xr10:uid="{370D5437-89AE-4BC5-9F26-43E6F3337890}" cache="SegmentaçãodeDados_LISTA_PERTENCENTE1" caption="LISTA PERTENCENTE" style="SlicerStyleLight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0208-B250-48F1-83A1-77D3898929F9}" name="Funcionários_Ativos" displayName="Funcionários_Ativos" ref="A1:E447" tableType="queryTable" totalsRowShown="0" headerRowDxfId="8">
  <autoFilter ref="A1:E447" xr:uid="{C8380208-B250-48F1-83A1-77D3898929F9}"/>
  <tableColumns count="5">
    <tableColumn id="2" xr3:uid="{419F742E-6E38-4658-8EB6-63E28BFDCE09}" uniqueName="2" name="matrícula" queryTableFieldId="22" dataDxfId="7"/>
    <tableColumn id="4" xr3:uid="{18884A1E-138F-4BDF-92F7-B7C5898F7E83}" uniqueName="4" name="nome" queryTableFieldId="23" dataDxfId="6"/>
    <tableColumn id="3" xr3:uid="{354E2ADF-6FC4-4D28-9FEC-989714FF8E5A}" uniqueName="3" name="setor" queryTableFieldId="3" dataDxfId="5"/>
    <tableColumn id="5" xr3:uid="{FE50488D-DB05-4ABE-8B18-3128AEEC7E56}" uniqueName="5" name="distribuição" queryTableFieldId="24" dataDxfId="4"/>
    <tableColumn id="6" xr3:uid="{8B38D57D-0B1A-4C3C-8B36-6FF1FA87BA17}" uniqueName="6" name="Admissão" queryTableFieldId="2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rgb="FF002060"/>
  </sheetPr>
  <dimension ref="B2:J14"/>
  <sheetViews>
    <sheetView showGridLines="0" workbookViewId="0">
      <selection activeCell="C5" sqref="C5"/>
    </sheetView>
  </sheetViews>
  <sheetFormatPr defaultRowHeight="15"/>
  <cols>
    <col min="2" max="2" width="12.7109375" customWidth="1"/>
    <col min="3" max="3" width="15.7109375" bestFit="1" customWidth="1"/>
    <col min="5" max="5" width="20.85546875" customWidth="1"/>
    <col min="6" max="6" width="12.85546875" customWidth="1"/>
  </cols>
  <sheetData>
    <row r="2" spans="2:10" s="16" customFormat="1" ht="31.15" customHeight="1">
      <c r="E2" s="19" t="s">
        <v>25</v>
      </c>
      <c r="F2" s="17" t="e">
        <f>COUNTIF(#REF!,"&lt;&gt;")</f>
        <v>#REF!</v>
      </c>
      <c r="G2" s="17" t="e">
        <f>F2-F13</f>
        <v>#REF!</v>
      </c>
    </row>
    <row r="3" spans="2:10">
      <c r="B3" s="34" t="s">
        <v>8</v>
      </c>
      <c r="C3" s="35"/>
      <c r="E3" s="12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12" t="s">
        <v>31</v>
      </c>
    </row>
    <row r="4" spans="2:10">
      <c r="B4" s="6" t="s">
        <v>22</v>
      </c>
      <c r="C4" s="11">
        <f ca="1">TODAY()+30</f>
        <v>46108</v>
      </c>
      <c r="E4" s="6" t="s">
        <v>9</v>
      </c>
      <c r="F4" s="6" t="e">
        <f>COUNTIF(#REF!,"&lt;&gt;")</f>
        <v>#REF!</v>
      </c>
      <c r="G4" s="6" t="e">
        <f>COUNTIF(#REF!,"&lt;&gt;")</f>
        <v>#REF!</v>
      </c>
      <c r="H4" s="6" t="e">
        <f>COUNTIF(#REF!,"&lt;&gt;")</f>
        <v>#REF!</v>
      </c>
      <c r="I4" s="6" t="e">
        <f>COUNTIF(#REF!,"&lt;&gt;")</f>
        <v>#REF!</v>
      </c>
      <c r="J4" s="6">
        <f>COUNTIF(VEGETAIS!B8:B1594,"&lt;&gt;")</f>
        <v>801</v>
      </c>
    </row>
    <row r="5" spans="2:10">
      <c r="B5" s="6" t="s">
        <v>5</v>
      </c>
      <c r="C5" s="9">
        <f ca="1">TODAY()</f>
        <v>46078</v>
      </c>
      <c r="E5" s="6" t="s">
        <v>10</v>
      </c>
      <c r="F5" s="6" t="e">
        <f>COUNTIF(#REF!,"&lt;&gt;")</f>
        <v>#REF!</v>
      </c>
      <c r="G5" s="6" t="e">
        <f>COUNTIF(#REF!,"&lt;&gt;")</f>
        <v>#REF!</v>
      </c>
      <c r="H5" s="6" t="e">
        <f>COUNTIF(#REF!,"&lt;&gt;")</f>
        <v>#REF!</v>
      </c>
      <c r="I5" s="6" t="e">
        <f>COUNTIF(#REF!,"&lt;&gt;")</f>
        <v>#REF!</v>
      </c>
      <c r="J5" s="6" t="e">
        <f>COUNTIF(#REF!,"&lt;&gt;")</f>
        <v>#REF!</v>
      </c>
    </row>
    <row r="6" spans="2:10">
      <c r="B6" s="6" t="s">
        <v>6</v>
      </c>
      <c r="C6" s="10">
        <f ca="1">NOW()</f>
        <v>46078.595674884258</v>
      </c>
      <c r="E6" s="6" t="s">
        <v>11</v>
      </c>
      <c r="F6" s="6" t="e">
        <f>COUNTIF(#REF!,"&lt;&gt;")</f>
        <v>#REF!</v>
      </c>
      <c r="G6" s="6" t="e">
        <f>COUNTIF(#REF!,"&lt;&gt;")</f>
        <v>#REF!</v>
      </c>
      <c r="H6" s="6" t="e">
        <f>COUNTIF(#REF!,"&lt;&gt;")</f>
        <v>#REF!</v>
      </c>
      <c r="I6" s="6" t="e">
        <f>COUNTIF(#REF!,"&lt;&gt;")</f>
        <v>#REF!</v>
      </c>
      <c r="J6" s="6" t="e">
        <f>COUNTIF(#REF!,"&lt;&gt;")</f>
        <v>#REF!</v>
      </c>
    </row>
    <row r="7" spans="2:10">
      <c r="E7" s="6" t="s">
        <v>12</v>
      </c>
      <c r="F7" s="6" t="e">
        <f>COUNTIF(#REF!,"&lt;&gt;")</f>
        <v>#REF!</v>
      </c>
      <c r="G7" s="6" t="e">
        <f>COUNTIF(#REF!,"&lt;&gt;")</f>
        <v>#REF!</v>
      </c>
      <c r="H7" s="6" t="e">
        <f>COUNTIF(#REF!,"&lt;&gt;")</f>
        <v>#REF!</v>
      </c>
      <c r="I7" s="6" t="e">
        <f>COUNTIF(#REF!,"&lt;&gt;")</f>
        <v>#REF!</v>
      </c>
      <c r="J7" s="6" t="e">
        <f>COUNTIF(#REF!,"&lt;&gt;")</f>
        <v>#REF!</v>
      </c>
    </row>
    <row r="8" spans="2:10">
      <c r="E8" s="6" t="s">
        <v>13</v>
      </c>
      <c r="F8" s="6" t="e">
        <f>COUNTIF(#REF!,"&lt;&gt;")</f>
        <v>#REF!</v>
      </c>
      <c r="G8" s="6" t="e">
        <f>COUNTIF(#REF!,"&lt;&gt;")</f>
        <v>#REF!</v>
      </c>
      <c r="H8" s="6" t="e">
        <f>COUNTIF(#REF!,"&lt;&gt;")</f>
        <v>#REF!</v>
      </c>
      <c r="I8" s="6" t="e">
        <f>COUNTIF(#REF!,"&lt;&gt;")</f>
        <v>#REF!</v>
      </c>
      <c r="J8" s="6" t="e">
        <f>COUNTIF(#REF!,"&lt;&gt;")</f>
        <v>#REF!</v>
      </c>
    </row>
    <row r="9" spans="2:10">
      <c r="E9" s="6" t="s">
        <v>24</v>
      </c>
      <c r="F9" s="6" t="e">
        <f>COUNTIF(#REF!,"&lt;&gt;")</f>
        <v>#REF!</v>
      </c>
      <c r="G9" s="6" t="e">
        <f>COUNTIF(#REF!,"&lt;&gt;")</f>
        <v>#REF!</v>
      </c>
      <c r="H9" s="6" t="e">
        <f>COUNTIF(#REF!,"&lt;&gt;")</f>
        <v>#REF!</v>
      </c>
      <c r="I9" s="6" t="e">
        <f>COUNTIF(#REF!,"&lt;&gt;")</f>
        <v>#REF!</v>
      </c>
      <c r="J9" s="6" t="e">
        <f>COUNTIF(#REF!,"&lt;&gt;")</f>
        <v>#REF!</v>
      </c>
    </row>
    <row r="10" spans="2:10">
      <c r="E10" s="6" t="s">
        <v>23</v>
      </c>
      <c r="F10" s="6" t="e">
        <f>COUNTIF(#REF!,"&lt;&gt;")</f>
        <v>#REF!</v>
      </c>
      <c r="G10" s="6" t="e">
        <f>COUNTIF(#REF!,"&lt;&gt;")</f>
        <v>#REF!</v>
      </c>
      <c r="H10" s="6" t="e">
        <f>COUNTIF(#REF!,"&lt;&gt;")</f>
        <v>#REF!</v>
      </c>
      <c r="I10" s="6" t="e">
        <f>COUNTIF(#REF!,"&lt;&gt;")</f>
        <v>#REF!</v>
      </c>
      <c r="J10" s="6" t="e">
        <f>COUNTIF(#REF!,"&lt;&gt;")</f>
        <v>#REF!</v>
      </c>
    </row>
    <row r="11" spans="2:10">
      <c r="E11" s="6" t="s">
        <v>14</v>
      </c>
      <c r="F11" s="6" t="e">
        <f>COUNTIF(#REF!,"&lt;&gt;")</f>
        <v>#REF!</v>
      </c>
      <c r="G11" s="6" t="e">
        <f>COUNTIF(#REF!,"&lt;&gt;")</f>
        <v>#REF!</v>
      </c>
      <c r="H11" s="6" t="e">
        <f>COUNTIF(#REF!,"&lt;&gt;")</f>
        <v>#REF!</v>
      </c>
      <c r="I11" s="6" t="e">
        <f>COUNTIF(#REF!,"&lt;&gt;")</f>
        <v>#REF!</v>
      </c>
      <c r="J11" s="6" t="e">
        <f>COUNTIF(#REF!,"&lt;&gt;")</f>
        <v>#REF!</v>
      </c>
    </row>
    <row r="12" spans="2:10">
      <c r="E12" s="6" t="s">
        <v>15</v>
      </c>
      <c r="F12" s="6" t="e">
        <f>COUNTIF(#REF!,"&lt;&gt;")</f>
        <v>#REF!</v>
      </c>
      <c r="G12" s="6" t="e">
        <f>COUNTIF(#REF!,"&lt;&gt;")</f>
        <v>#REF!</v>
      </c>
      <c r="H12" s="6" t="e">
        <f>COUNTIF(#REF!,"&lt;&gt;")</f>
        <v>#REF!</v>
      </c>
      <c r="I12" s="6" t="e">
        <f>COUNTIF(#REF!,"&lt;&gt;")</f>
        <v>#REF!</v>
      </c>
      <c r="J12" s="6" t="e">
        <f>COUNTIF(#REF!,"&lt;&gt;")</f>
        <v>#REF!</v>
      </c>
    </row>
    <row r="13" spans="2:10">
      <c r="E13" s="18" t="s">
        <v>21</v>
      </c>
      <c r="F13" s="18" t="e">
        <f>SUM(F4:F12)</f>
        <v>#REF!</v>
      </c>
      <c r="G13" s="18" t="e">
        <f>SUM(G4:G12)</f>
        <v>#REF!</v>
      </c>
      <c r="H13" s="18" t="e">
        <f>SUM(H4:H12)</f>
        <v>#REF!</v>
      </c>
      <c r="I13" s="18" t="e">
        <f>SUM(I4:I12)</f>
        <v>#REF!</v>
      </c>
      <c r="J13" s="18" t="e">
        <f>SUM(J4:J12)</f>
        <v>#REF!</v>
      </c>
    </row>
    <row r="14" spans="2:10">
      <c r="C14" t="s">
        <v>32</v>
      </c>
    </row>
  </sheetData>
  <mergeCells count="1">
    <mergeCell ref="B3:C3"/>
  </mergeCells>
  <conditionalFormatting sqref="F4:I12">
    <cfRule type="expression" dxfId="10" priority="2">
      <formula>F4=SMALL($F4:$I4,1)</formula>
    </cfRule>
  </conditionalFormatting>
  <conditionalFormatting sqref="J4:J12">
    <cfRule type="expression" dxfId="9" priority="1">
      <formula>J4=SMALL($F4:$I4,1)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"/>
  <sheetViews>
    <sheetView showGridLines="0" zoomScale="115" zoomScaleNormal="115" workbookViewId="0">
      <selection activeCell="K14" sqref="K14"/>
    </sheetView>
  </sheetViews>
  <sheetFormatPr defaultRowHeight="15"/>
  <sheetData/>
  <printOptions horizontalCentered="1"/>
  <pageMargins left="0.51181102362204722" right="0.51181102362204722" top="0.78740157480314965" bottom="0.78740157480314965" header="0.31496062992125984" footer="0.31496062992125984"/>
  <pageSetup paperSize="9" scale="13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461B-34E2-4226-B453-E8A04E8309D3}">
  <sheetPr codeName="Planilha3"/>
  <dimension ref="A1:E447"/>
  <sheetViews>
    <sheetView showGridLines="0" tabSelected="1" zoomScale="105" zoomScaleNormal="105" workbookViewId="0">
      <selection activeCell="F10" sqref="F10"/>
    </sheetView>
  </sheetViews>
  <sheetFormatPr defaultRowHeight="15"/>
  <cols>
    <col min="1" max="1" width="13.85546875" style="15" bestFit="1" customWidth="1"/>
    <col min="2" max="2" width="42.140625" style="15" bestFit="1" customWidth="1"/>
    <col min="3" max="3" width="31" style="15" bestFit="1" customWidth="1"/>
    <col min="4" max="4" width="16" style="15" bestFit="1" customWidth="1"/>
    <col min="5" max="5" width="15.85546875" style="15" customWidth="1"/>
    <col min="6" max="6" width="19.7109375" bestFit="1" customWidth="1"/>
    <col min="7" max="7" width="36" bestFit="1" customWidth="1"/>
    <col min="8" max="8" width="21" bestFit="1" customWidth="1"/>
    <col min="9" max="9" width="22.42578125" bestFit="1" customWidth="1"/>
    <col min="10" max="10" width="56.28515625" bestFit="1" customWidth="1"/>
    <col min="11" max="12" width="11.140625" bestFit="1" customWidth="1"/>
    <col min="13" max="14" width="13.42578125" bestFit="1" customWidth="1"/>
    <col min="15" max="15" width="56.28515625" customWidth="1"/>
    <col min="16" max="17" width="13.42578125" bestFit="1" customWidth="1"/>
    <col min="18" max="18" width="56.28515625" bestFit="1" customWidth="1"/>
    <col min="19" max="19" width="13.42578125" bestFit="1" customWidth="1"/>
  </cols>
  <sheetData>
    <row r="1" spans="1:5" s="32" customFormat="1">
      <c r="A1" s="32" t="s">
        <v>34</v>
      </c>
      <c r="B1" s="32" t="s">
        <v>35</v>
      </c>
      <c r="C1" s="32" t="s">
        <v>36</v>
      </c>
      <c r="D1" s="32" t="s">
        <v>37</v>
      </c>
      <c r="E1" s="32" t="s">
        <v>38</v>
      </c>
    </row>
    <row r="2" spans="1:5">
      <c r="A2" t="s">
        <v>39</v>
      </c>
      <c r="B2" t="s">
        <v>40</v>
      </c>
      <c r="C2" t="s">
        <v>41</v>
      </c>
      <c r="D2" t="s">
        <v>42</v>
      </c>
      <c r="E2" s="33">
        <v>43580</v>
      </c>
    </row>
    <row r="3" spans="1:5">
      <c r="A3" t="s">
        <v>43</v>
      </c>
      <c r="B3" t="s">
        <v>44</v>
      </c>
      <c r="C3" t="s">
        <v>41</v>
      </c>
      <c r="D3" t="s">
        <v>42</v>
      </c>
      <c r="E3" s="33">
        <v>44628</v>
      </c>
    </row>
    <row r="4" spans="1:5">
      <c r="A4" t="s">
        <v>45</v>
      </c>
      <c r="B4" t="s">
        <v>46</v>
      </c>
      <c r="C4" t="s">
        <v>41</v>
      </c>
      <c r="D4" t="s">
        <v>42</v>
      </c>
      <c r="E4" s="33">
        <v>45792</v>
      </c>
    </row>
    <row r="5" spans="1:5">
      <c r="A5" t="s">
        <v>47</v>
      </c>
      <c r="B5" t="s">
        <v>48</v>
      </c>
      <c r="C5" t="s">
        <v>41</v>
      </c>
      <c r="D5" t="s">
        <v>42</v>
      </c>
      <c r="E5" s="33">
        <v>45775</v>
      </c>
    </row>
    <row r="6" spans="1:5">
      <c r="A6" t="s">
        <v>49</v>
      </c>
      <c r="B6" t="s">
        <v>50</v>
      </c>
      <c r="C6" t="s">
        <v>41</v>
      </c>
      <c r="D6" t="s">
        <v>42</v>
      </c>
      <c r="E6" s="33">
        <v>45775</v>
      </c>
    </row>
    <row r="7" spans="1:5">
      <c r="A7" t="s">
        <v>51</v>
      </c>
      <c r="B7" t="s">
        <v>52</v>
      </c>
      <c r="C7" t="s">
        <v>41</v>
      </c>
      <c r="D7" t="s">
        <v>42</v>
      </c>
      <c r="E7" s="33">
        <v>45411</v>
      </c>
    </row>
    <row r="8" spans="1:5">
      <c r="A8" t="s">
        <v>53</v>
      </c>
      <c r="B8" t="s">
        <v>54</v>
      </c>
      <c r="C8" t="s">
        <v>41</v>
      </c>
      <c r="D8" t="s">
        <v>42</v>
      </c>
      <c r="E8" s="33">
        <v>45775</v>
      </c>
    </row>
    <row r="9" spans="1:5">
      <c r="A9" t="s">
        <v>55</v>
      </c>
      <c r="B9" t="s">
        <v>56</v>
      </c>
      <c r="C9" t="s">
        <v>41</v>
      </c>
      <c r="D9" t="s">
        <v>42</v>
      </c>
      <c r="E9" s="33">
        <v>41295</v>
      </c>
    </row>
    <row r="10" spans="1:5">
      <c r="A10" t="s">
        <v>57</v>
      </c>
      <c r="B10" t="s">
        <v>58</v>
      </c>
      <c r="C10" t="s">
        <v>41</v>
      </c>
      <c r="D10" t="s">
        <v>42</v>
      </c>
      <c r="E10" s="33">
        <v>39860</v>
      </c>
    </row>
    <row r="11" spans="1:5">
      <c r="A11" t="s">
        <v>59</v>
      </c>
      <c r="B11" t="s">
        <v>60</v>
      </c>
      <c r="C11" t="s">
        <v>61</v>
      </c>
      <c r="D11" t="s">
        <v>62</v>
      </c>
      <c r="E11" s="33">
        <v>44270</v>
      </c>
    </row>
    <row r="12" spans="1:5">
      <c r="A12" t="s">
        <v>63</v>
      </c>
      <c r="B12" t="s">
        <v>64</v>
      </c>
      <c r="C12" t="s">
        <v>61</v>
      </c>
      <c r="D12" t="s">
        <v>62</v>
      </c>
      <c r="E12" s="33">
        <v>44903</v>
      </c>
    </row>
    <row r="13" spans="1:5">
      <c r="A13" t="s">
        <v>65</v>
      </c>
      <c r="B13" t="s">
        <v>66</v>
      </c>
      <c r="C13" t="s">
        <v>61</v>
      </c>
      <c r="D13" t="s">
        <v>62</v>
      </c>
      <c r="E13" s="33">
        <v>44214</v>
      </c>
    </row>
    <row r="14" spans="1:5">
      <c r="A14" t="s">
        <v>67</v>
      </c>
      <c r="B14" t="s">
        <v>68</v>
      </c>
      <c r="C14" t="s">
        <v>61</v>
      </c>
      <c r="D14" t="s">
        <v>62</v>
      </c>
      <c r="E14" s="33">
        <v>44036</v>
      </c>
    </row>
    <row r="15" spans="1:5">
      <c r="A15" t="s">
        <v>69</v>
      </c>
      <c r="B15" t="s">
        <v>70</v>
      </c>
      <c r="C15" t="s">
        <v>61</v>
      </c>
      <c r="D15" t="s">
        <v>62</v>
      </c>
      <c r="E15" s="33">
        <v>45411</v>
      </c>
    </row>
    <row r="16" spans="1:5">
      <c r="A16" t="s">
        <v>71</v>
      </c>
      <c r="B16" t="s">
        <v>72</v>
      </c>
      <c r="C16" t="s">
        <v>61</v>
      </c>
      <c r="D16" t="s">
        <v>62</v>
      </c>
      <c r="E16" s="33">
        <v>45406</v>
      </c>
    </row>
    <row r="17" spans="1:5">
      <c r="A17" t="s">
        <v>73</v>
      </c>
      <c r="B17" t="s">
        <v>74</v>
      </c>
      <c r="C17" t="s">
        <v>61</v>
      </c>
      <c r="D17" t="s">
        <v>62</v>
      </c>
      <c r="E17" s="33">
        <v>45406</v>
      </c>
    </row>
    <row r="18" spans="1:5">
      <c r="A18" t="s">
        <v>75</v>
      </c>
      <c r="B18" t="s">
        <v>76</v>
      </c>
      <c r="C18" t="s">
        <v>77</v>
      </c>
      <c r="D18" t="s">
        <v>62</v>
      </c>
      <c r="E18" s="33">
        <v>43780</v>
      </c>
    </row>
    <row r="19" spans="1:5">
      <c r="A19" t="s">
        <v>78</v>
      </c>
      <c r="B19" t="s">
        <v>79</v>
      </c>
      <c r="C19" t="s">
        <v>77</v>
      </c>
      <c r="D19" t="s">
        <v>62</v>
      </c>
      <c r="E19" s="33">
        <v>45040</v>
      </c>
    </row>
    <row r="20" spans="1:5">
      <c r="A20" t="s">
        <v>80</v>
      </c>
      <c r="B20" t="s">
        <v>81</v>
      </c>
      <c r="C20" t="s">
        <v>77</v>
      </c>
      <c r="D20" t="s">
        <v>62</v>
      </c>
      <c r="E20" s="33">
        <v>39105</v>
      </c>
    </row>
    <row r="21" spans="1:5">
      <c r="A21" t="s">
        <v>82</v>
      </c>
      <c r="B21" t="s">
        <v>83</v>
      </c>
      <c r="C21" t="s">
        <v>77</v>
      </c>
      <c r="D21" t="s">
        <v>62</v>
      </c>
      <c r="E21" s="33">
        <v>45411</v>
      </c>
    </row>
    <row r="22" spans="1:5">
      <c r="A22" t="s">
        <v>84</v>
      </c>
      <c r="B22" t="s">
        <v>85</v>
      </c>
      <c r="C22" t="s">
        <v>77</v>
      </c>
      <c r="D22" t="s">
        <v>62</v>
      </c>
      <c r="E22" s="33">
        <v>45411</v>
      </c>
    </row>
    <row r="23" spans="1:5">
      <c r="A23" t="s">
        <v>86</v>
      </c>
      <c r="B23" t="s">
        <v>87</v>
      </c>
      <c r="C23" t="s">
        <v>88</v>
      </c>
      <c r="D23" t="s">
        <v>42</v>
      </c>
      <c r="E23" s="33">
        <v>41883</v>
      </c>
    </row>
    <row r="24" spans="1:5">
      <c r="A24" t="s">
        <v>89</v>
      </c>
      <c r="B24" t="s">
        <v>90</v>
      </c>
      <c r="C24" t="s">
        <v>88</v>
      </c>
      <c r="D24" t="s">
        <v>42</v>
      </c>
      <c r="E24" s="33">
        <v>39904</v>
      </c>
    </row>
    <row r="25" spans="1:5">
      <c r="A25" t="s">
        <v>91</v>
      </c>
      <c r="B25" t="s">
        <v>92</v>
      </c>
      <c r="C25" t="s">
        <v>93</v>
      </c>
      <c r="D25" t="s">
        <v>62</v>
      </c>
      <c r="E25" s="33">
        <v>45775</v>
      </c>
    </row>
    <row r="26" spans="1:5">
      <c r="A26" t="s">
        <v>94</v>
      </c>
      <c r="B26" t="s">
        <v>95</v>
      </c>
      <c r="C26" t="s">
        <v>96</v>
      </c>
      <c r="D26" t="s">
        <v>42</v>
      </c>
      <c r="E26" s="33">
        <v>45775</v>
      </c>
    </row>
    <row r="27" spans="1:5">
      <c r="A27" t="s">
        <v>97</v>
      </c>
      <c r="B27" t="s">
        <v>98</v>
      </c>
      <c r="C27" t="s">
        <v>99</v>
      </c>
      <c r="D27" t="s">
        <v>62</v>
      </c>
      <c r="E27" s="33">
        <v>41506</v>
      </c>
    </row>
    <row r="28" spans="1:5">
      <c r="A28" t="s">
        <v>100</v>
      </c>
      <c r="B28" t="s">
        <v>101</v>
      </c>
      <c r="C28" t="s">
        <v>99</v>
      </c>
      <c r="D28" t="s">
        <v>62</v>
      </c>
      <c r="E28" s="33">
        <v>44648</v>
      </c>
    </row>
    <row r="29" spans="1:5">
      <c r="A29" t="s">
        <v>102</v>
      </c>
      <c r="B29" t="s">
        <v>103</v>
      </c>
      <c r="C29" t="s">
        <v>99</v>
      </c>
      <c r="D29" t="s">
        <v>62</v>
      </c>
      <c r="E29" s="33">
        <v>46001</v>
      </c>
    </row>
    <row r="30" spans="1:5">
      <c r="A30" t="s">
        <v>104</v>
      </c>
      <c r="B30" t="s">
        <v>105</v>
      </c>
      <c r="C30" t="s">
        <v>99</v>
      </c>
      <c r="D30" t="s">
        <v>62</v>
      </c>
      <c r="E30" s="33">
        <v>45126</v>
      </c>
    </row>
    <row r="31" spans="1:5">
      <c r="A31" t="s">
        <v>106</v>
      </c>
      <c r="B31" t="s">
        <v>107</v>
      </c>
      <c r="C31" t="s">
        <v>99</v>
      </c>
      <c r="D31" t="s">
        <v>62</v>
      </c>
      <c r="E31" s="33">
        <v>46001</v>
      </c>
    </row>
    <row r="32" spans="1:5">
      <c r="A32" t="s">
        <v>108</v>
      </c>
      <c r="B32" t="s">
        <v>109</v>
      </c>
      <c r="C32" t="s">
        <v>99</v>
      </c>
      <c r="D32" t="s">
        <v>62</v>
      </c>
      <c r="E32" s="33">
        <v>46001</v>
      </c>
    </row>
    <row r="33" spans="1:5">
      <c r="A33" t="s">
        <v>110</v>
      </c>
      <c r="B33" t="s">
        <v>111</v>
      </c>
      <c r="C33" t="s">
        <v>99</v>
      </c>
      <c r="D33" t="s">
        <v>62</v>
      </c>
      <c r="E33" s="33">
        <v>39220</v>
      </c>
    </row>
    <row r="34" spans="1:5">
      <c r="A34" t="s">
        <v>112</v>
      </c>
      <c r="B34" t="s">
        <v>113</v>
      </c>
      <c r="C34" t="s">
        <v>99</v>
      </c>
      <c r="D34" t="s">
        <v>62</v>
      </c>
      <c r="E34" s="33">
        <v>40539</v>
      </c>
    </row>
    <row r="35" spans="1:5">
      <c r="A35" t="s">
        <v>114</v>
      </c>
      <c r="B35" t="s">
        <v>115</v>
      </c>
      <c r="C35" t="s">
        <v>99</v>
      </c>
      <c r="D35" t="s">
        <v>62</v>
      </c>
      <c r="E35" s="33">
        <v>44036</v>
      </c>
    </row>
    <row r="36" spans="1:5">
      <c r="A36" t="s">
        <v>116</v>
      </c>
      <c r="B36" t="s">
        <v>117</v>
      </c>
      <c r="C36" t="s">
        <v>99</v>
      </c>
      <c r="D36" t="s">
        <v>62</v>
      </c>
      <c r="E36" s="33">
        <v>36396</v>
      </c>
    </row>
    <row r="37" spans="1:5">
      <c r="A37" t="s">
        <v>118</v>
      </c>
      <c r="B37" t="s">
        <v>119</v>
      </c>
      <c r="C37" t="s">
        <v>99</v>
      </c>
      <c r="D37" t="s">
        <v>62</v>
      </c>
      <c r="E37" s="33">
        <v>41068</v>
      </c>
    </row>
    <row r="38" spans="1:5">
      <c r="A38" t="s">
        <v>120</v>
      </c>
      <c r="B38" t="s">
        <v>121</v>
      </c>
      <c r="C38" t="s">
        <v>99</v>
      </c>
      <c r="D38" t="s">
        <v>62</v>
      </c>
      <c r="E38" s="33">
        <v>45126</v>
      </c>
    </row>
    <row r="39" spans="1:5">
      <c r="A39" t="s">
        <v>122</v>
      </c>
      <c r="B39" t="s">
        <v>123</v>
      </c>
      <c r="C39" t="s">
        <v>99</v>
      </c>
      <c r="D39" t="s">
        <v>62</v>
      </c>
      <c r="E39" s="33">
        <v>46001</v>
      </c>
    </row>
    <row r="40" spans="1:5">
      <c r="A40" t="s">
        <v>124</v>
      </c>
      <c r="B40" t="s">
        <v>125</v>
      </c>
      <c r="C40" t="s">
        <v>99</v>
      </c>
      <c r="D40" t="s">
        <v>62</v>
      </c>
      <c r="E40" s="33">
        <v>46001</v>
      </c>
    </row>
    <row r="41" spans="1:5">
      <c r="A41" t="s">
        <v>126</v>
      </c>
      <c r="B41" t="s">
        <v>127</v>
      </c>
      <c r="C41" t="s">
        <v>99</v>
      </c>
      <c r="D41" t="s">
        <v>62</v>
      </c>
      <c r="E41" s="33">
        <v>45453</v>
      </c>
    </row>
    <row r="42" spans="1:5">
      <c r="A42" t="s">
        <v>128</v>
      </c>
      <c r="B42" t="s">
        <v>129</v>
      </c>
      <c r="C42" t="s">
        <v>41</v>
      </c>
      <c r="D42" t="s">
        <v>42</v>
      </c>
      <c r="E42" s="33">
        <v>36082</v>
      </c>
    </row>
    <row r="43" spans="1:5">
      <c r="A43" t="s">
        <v>130</v>
      </c>
      <c r="B43" t="s">
        <v>131</v>
      </c>
      <c r="C43" t="s">
        <v>41</v>
      </c>
      <c r="D43" t="s">
        <v>42</v>
      </c>
      <c r="E43" s="33">
        <v>40833</v>
      </c>
    </row>
    <row r="44" spans="1:5">
      <c r="A44" t="s">
        <v>132</v>
      </c>
      <c r="B44" t="s">
        <v>133</v>
      </c>
      <c r="C44" t="s">
        <v>41</v>
      </c>
      <c r="D44" t="s">
        <v>42</v>
      </c>
      <c r="E44" s="33">
        <v>40308</v>
      </c>
    </row>
    <row r="45" spans="1:5">
      <c r="A45" t="s">
        <v>134</v>
      </c>
      <c r="B45" t="s">
        <v>135</v>
      </c>
      <c r="C45" t="s">
        <v>96</v>
      </c>
      <c r="D45" t="s">
        <v>42</v>
      </c>
      <c r="E45" s="33">
        <v>40316</v>
      </c>
    </row>
    <row r="46" spans="1:5">
      <c r="A46" t="s">
        <v>136</v>
      </c>
      <c r="B46" t="s">
        <v>137</v>
      </c>
      <c r="C46" t="s">
        <v>88</v>
      </c>
      <c r="D46" t="s">
        <v>42</v>
      </c>
      <c r="E46" s="33">
        <v>45411</v>
      </c>
    </row>
    <row r="47" spans="1:5">
      <c r="A47" t="s">
        <v>138</v>
      </c>
      <c r="B47" t="s">
        <v>139</v>
      </c>
      <c r="C47" t="s">
        <v>41</v>
      </c>
      <c r="D47" t="s">
        <v>42</v>
      </c>
      <c r="E47" s="33">
        <v>42534</v>
      </c>
    </row>
    <row r="48" spans="1:5">
      <c r="A48" t="s">
        <v>140</v>
      </c>
      <c r="B48" t="s">
        <v>141</v>
      </c>
      <c r="C48" t="s">
        <v>88</v>
      </c>
      <c r="D48" t="s">
        <v>42</v>
      </c>
      <c r="E48" s="33">
        <v>45196</v>
      </c>
    </row>
    <row r="49" spans="1:5">
      <c r="A49" t="s">
        <v>142</v>
      </c>
      <c r="B49" t="s">
        <v>143</v>
      </c>
      <c r="C49" t="s">
        <v>41</v>
      </c>
      <c r="D49" t="s">
        <v>42</v>
      </c>
      <c r="E49" s="33">
        <v>41017</v>
      </c>
    </row>
    <row r="50" spans="1:5">
      <c r="A50" t="s">
        <v>144</v>
      </c>
      <c r="B50" t="s">
        <v>145</v>
      </c>
      <c r="C50" t="s">
        <v>41</v>
      </c>
      <c r="D50" t="s">
        <v>42</v>
      </c>
      <c r="E50" s="33">
        <v>45775</v>
      </c>
    </row>
    <row r="51" spans="1:5">
      <c r="A51" t="s">
        <v>146</v>
      </c>
      <c r="B51" t="s">
        <v>147</v>
      </c>
      <c r="C51" t="s">
        <v>96</v>
      </c>
      <c r="D51" t="s">
        <v>42</v>
      </c>
      <c r="E51" s="33">
        <v>45775</v>
      </c>
    </row>
    <row r="52" spans="1:5">
      <c r="A52" t="s">
        <v>148</v>
      </c>
      <c r="B52" t="s">
        <v>149</v>
      </c>
      <c r="C52" t="s">
        <v>41</v>
      </c>
      <c r="D52" t="s">
        <v>42</v>
      </c>
      <c r="E52" s="33">
        <v>44956</v>
      </c>
    </row>
    <row r="53" spans="1:5">
      <c r="A53" t="s">
        <v>150</v>
      </c>
      <c r="B53" t="s">
        <v>151</v>
      </c>
      <c r="C53" t="s">
        <v>41</v>
      </c>
      <c r="D53" t="s">
        <v>42</v>
      </c>
      <c r="E53" s="33">
        <v>43446</v>
      </c>
    </row>
    <row r="54" spans="1:5">
      <c r="A54" t="s">
        <v>152</v>
      </c>
      <c r="B54" t="s">
        <v>153</v>
      </c>
      <c r="C54" t="s">
        <v>88</v>
      </c>
      <c r="D54" t="s">
        <v>42</v>
      </c>
      <c r="E54" s="33">
        <v>39449</v>
      </c>
    </row>
    <row r="55" spans="1:5">
      <c r="A55" t="s">
        <v>154</v>
      </c>
      <c r="B55" t="s">
        <v>155</v>
      </c>
      <c r="C55" t="s">
        <v>41</v>
      </c>
      <c r="D55" t="s">
        <v>42</v>
      </c>
      <c r="E55" s="33">
        <v>45411</v>
      </c>
    </row>
    <row r="56" spans="1:5">
      <c r="A56" t="s">
        <v>156</v>
      </c>
      <c r="B56" t="s">
        <v>157</v>
      </c>
      <c r="C56" t="s">
        <v>41</v>
      </c>
      <c r="D56" t="s">
        <v>42</v>
      </c>
      <c r="E56" s="33">
        <v>42376</v>
      </c>
    </row>
    <row r="57" spans="1:5">
      <c r="A57" t="s">
        <v>158</v>
      </c>
      <c r="B57" t="s">
        <v>159</v>
      </c>
      <c r="C57" t="s">
        <v>41</v>
      </c>
      <c r="D57" t="s">
        <v>42</v>
      </c>
      <c r="E57" s="33">
        <v>45040</v>
      </c>
    </row>
    <row r="58" spans="1:5">
      <c r="A58" t="s">
        <v>160</v>
      </c>
      <c r="B58" t="s">
        <v>161</v>
      </c>
      <c r="C58" t="s">
        <v>88</v>
      </c>
      <c r="D58" t="s">
        <v>42</v>
      </c>
      <c r="E58" s="33">
        <v>45775</v>
      </c>
    </row>
    <row r="59" spans="1:5">
      <c r="A59" t="s">
        <v>162</v>
      </c>
      <c r="B59" t="s">
        <v>163</v>
      </c>
      <c r="C59" t="s">
        <v>41</v>
      </c>
      <c r="D59" t="s">
        <v>42</v>
      </c>
      <c r="E59" s="33">
        <v>43342</v>
      </c>
    </row>
    <row r="60" spans="1:5">
      <c r="A60" t="s">
        <v>164</v>
      </c>
      <c r="B60" t="s">
        <v>165</v>
      </c>
      <c r="C60" t="s">
        <v>41</v>
      </c>
      <c r="D60" t="s">
        <v>42</v>
      </c>
      <c r="E60" s="33">
        <v>34745</v>
      </c>
    </row>
    <row r="61" spans="1:5">
      <c r="A61" t="s">
        <v>166</v>
      </c>
      <c r="B61" t="s">
        <v>167</v>
      </c>
      <c r="C61" t="s">
        <v>41</v>
      </c>
      <c r="D61" t="s">
        <v>42</v>
      </c>
      <c r="E61" s="33">
        <v>45775</v>
      </c>
    </row>
    <row r="62" spans="1:5">
      <c r="A62" t="s">
        <v>168</v>
      </c>
      <c r="B62" t="s">
        <v>169</v>
      </c>
      <c r="C62" t="s">
        <v>41</v>
      </c>
      <c r="D62" t="s">
        <v>42</v>
      </c>
      <c r="E62" s="33">
        <v>44599</v>
      </c>
    </row>
    <row r="63" spans="1:5">
      <c r="A63" t="s">
        <v>170</v>
      </c>
      <c r="B63" t="s">
        <v>171</v>
      </c>
      <c r="C63" t="s">
        <v>93</v>
      </c>
      <c r="D63" t="s">
        <v>62</v>
      </c>
      <c r="E63" s="33">
        <v>45775</v>
      </c>
    </row>
    <row r="64" spans="1:5">
      <c r="A64" t="s">
        <v>172</v>
      </c>
      <c r="B64" t="s">
        <v>173</v>
      </c>
      <c r="C64" t="s">
        <v>41</v>
      </c>
      <c r="D64" t="s">
        <v>42</v>
      </c>
      <c r="E64" s="33">
        <v>45775</v>
      </c>
    </row>
    <row r="65" spans="1:5">
      <c r="A65" t="s">
        <v>174</v>
      </c>
      <c r="B65" t="s">
        <v>175</v>
      </c>
      <c r="C65" t="s">
        <v>41</v>
      </c>
      <c r="D65" t="s">
        <v>42</v>
      </c>
      <c r="E65" s="33">
        <v>45775</v>
      </c>
    </row>
    <row r="66" spans="1:5">
      <c r="A66" t="s">
        <v>176</v>
      </c>
      <c r="B66" t="s">
        <v>177</v>
      </c>
      <c r="C66" t="s">
        <v>96</v>
      </c>
      <c r="D66" t="s">
        <v>42</v>
      </c>
      <c r="E66" s="33">
        <v>45411</v>
      </c>
    </row>
    <row r="67" spans="1:5">
      <c r="A67" t="s">
        <v>178</v>
      </c>
      <c r="B67" t="s">
        <v>179</v>
      </c>
      <c r="C67" t="s">
        <v>96</v>
      </c>
      <c r="D67" t="s">
        <v>42</v>
      </c>
      <c r="E67" s="33">
        <v>45411</v>
      </c>
    </row>
    <row r="68" spans="1:5">
      <c r="A68" t="s">
        <v>180</v>
      </c>
      <c r="B68" t="s">
        <v>181</v>
      </c>
      <c r="C68" t="s">
        <v>96</v>
      </c>
      <c r="D68" t="s">
        <v>42</v>
      </c>
      <c r="E68" s="33">
        <v>45239</v>
      </c>
    </row>
    <row r="69" spans="1:5">
      <c r="A69" t="s">
        <v>182</v>
      </c>
      <c r="B69" t="s">
        <v>183</v>
      </c>
      <c r="C69" t="s">
        <v>41</v>
      </c>
      <c r="D69" t="s">
        <v>42</v>
      </c>
      <c r="E69" s="33">
        <v>33178</v>
      </c>
    </row>
    <row r="70" spans="1:5">
      <c r="A70" t="s">
        <v>184</v>
      </c>
      <c r="B70" t="s">
        <v>185</v>
      </c>
      <c r="C70" t="s">
        <v>41</v>
      </c>
      <c r="D70" t="s">
        <v>42</v>
      </c>
      <c r="E70" s="33">
        <v>36861</v>
      </c>
    </row>
    <row r="71" spans="1:5">
      <c r="A71" t="s">
        <v>186</v>
      </c>
      <c r="B71" t="s">
        <v>187</v>
      </c>
      <c r="C71" t="s">
        <v>41</v>
      </c>
      <c r="D71" t="s">
        <v>42</v>
      </c>
      <c r="E71" s="33">
        <v>40773</v>
      </c>
    </row>
    <row r="72" spans="1:5">
      <c r="A72" t="s">
        <v>188</v>
      </c>
      <c r="B72" t="s">
        <v>189</v>
      </c>
      <c r="C72" t="s">
        <v>41</v>
      </c>
      <c r="D72" t="s">
        <v>42</v>
      </c>
      <c r="E72" s="33">
        <v>38777</v>
      </c>
    </row>
    <row r="73" spans="1:5">
      <c r="A73" t="s">
        <v>190</v>
      </c>
      <c r="B73" t="s">
        <v>191</v>
      </c>
      <c r="C73" t="s">
        <v>41</v>
      </c>
      <c r="D73" t="s">
        <v>42</v>
      </c>
      <c r="E73" s="33">
        <v>41852</v>
      </c>
    </row>
    <row r="74" spans="1:5">
      <c r="A74" t="s">
        <v>192</v>
      </c>
      <c r="B74" t="s">
        <v>193</v>
      </c>
      <c r="C74" t="s">
        <v>41</v>
      </c>
      <c r="D74" t="s">
        <v>42</v>
      </c>
      <c r="E74" s="33">
        <v>45775</v>
      </c>
    </row>
    <row r="75" spans="1:5">
      <c r="A75" t="s">
        <v>194</v>
      </c>
      <c r="B75" t="s">
        <v>195</v>
      </c>
      <c r="C75" t="s">
        <v>41</v>
      </c>
      <c r="D75" t="s">
        <v>42</v>
      </c>
      <c r="E75" s="33">
        <v>45411</v>
      </c>
    </row>
    <row r="76" spans="1:5">
      <c r="A76" t="s">
        <v>196</v>
      </c>
      <c r="B76" t="s">
        <v>197</v>
      </c>
      <c r="C76" t="s">
        <v>96</v>
      </c>
      <c r="D76" t="s">
        <v>42</v>
      </c>
      <c r="E76" s="33">
        <v>45336</v>
      </c>
    </row>
    <row r="77" spans="1:5">
      <c r="A77" t="s">
        <v>198</v>
      </c>
      <c r="B77" t="s">
        <v>199</v>
      </c>
      <c r="C77" t="s">
        <v>41</v>
      </c>
      <c r="D77" t="s">
        <v>42</v>
      </c>
      <c r="E77" s="33">
        <v>45411</v>
      </c>
    </row>
    <row r="78" spans="1:5">
      <c r="A78" t="s">
        <v>200</v>
      </c>
      <c r="B78" t="s">
        <v>201</v>
      </c>
      <c r="C78" t="s">
        <v>88</v>
      </c>
      <c r="D78" t="s">
        <v>42</v>
      </c>
      <c r="E78" s="33">
        <v>41929</v>
      </c>
    </row>
    <row r="79" spans="1:5">
      <c r="A79" t="s">
        <v>202</v>
      </c>
      <c r="B79" t="s">
        <v>203</v>
      </c>
      <c r="C79" t="s">
        <v>41</v>
      </c>
      <c r="D79" t="s">
        <v>42</v>
      </c>
      <c r="E79" s="33">
        <v>43608</v>
      </c>
    </row>
    <row r="80" spans="1:5">
      <c r="A80" t="s">
        <v>204</v>
      </c>
      <c r="B80" t="s">
        <v>205</v>
      </c>
      <c r="C80" t="s">
        <v>206</v>
      </c>
      <c r="D80" t="s">
        <v>62</v>
      </c>
      <c r="E80" s="33">
        <v>42719</v>
      </c>
    </row>
    <row r="81" spans="1:5">
      <c r="A81" t="s">
        <v>207</v>
      </c>
      <c r="B81" t="s">
        <v>208</v>
      </c>
      <c r="C81" t="s">
        <v>206</v>
      </c>
      <c r="D81" t="s">
        <v>62</v>
      </c>
      <c r="E81" s="33">
        <v>40217</v>
      </c>
    </row>
    <row r="82" spans="1:5">
      <c r="A82" t="s">
        <v>209</v>
      </c>
      <c r="B82" t="s">
        <v>210</v>
      </c>
      <c r="C82" t="s">
        <v>206</v>
      </c>
      <c r="D82" t="s">
        <v>62</v>
      </c>
      <c r="E82" s="33">
        <v>43934</v>
      </c>
    </row>
    <row r="83" spans="1:5">
      <c r="A83" t="s">
        <v>211</v>
      </c>
      <c r="B83" t="s">
        <v>212</v>
      </c>
      <c r="C83" t="s">
        <v>206</v>
      </c>
      <c r="D83" t="s">
        <v>62</v>
      </c>
      <c r="E83" s="33">
        <v>45310</v>
      </c>
    </row>
    <row r="84" spans="1:5">
      <c r="A84" t="s">
        <v>213</v>
      </c>
      <c r="B84" t="s">
        <v>214</v>
      </c>
      <c r="C84" t="s">
        <v>206</v>
      </c>
      <c r="D84" t="s">
        <v>62</v>
      </c>
      <c r="E84" s="33">
        <v>43852</v>
      </c>
    </row>
    <row r="85" spans="1:5">
      <c r="A85" t="s">
        <v>215</v>
      </c>
      <c r="B85" t="s">
        <v>216</v>
      </c>
      <c r="C85" t="s">
        <v>206</v>
      </c>
      <c r="D85" t="s">
        <v>62</v>
      </c>
      <c r="E85" s="33">
        <v>44628</v>
      </c>
    </row>
    <row r="86" spans="1:5">
      <c r="A86" t="s">
        <v>217</v>
      </c>
      <c r="B86" t="s">
        <v>218</v>
      </c>
      <c r="C86" t="s">
        <v>206</v>
      </c>
      <c r="D86" t="s">
        <v>62</v>
      </c>
      <c r="E86" s="33">
        <v>44648</v>
      </c>
    </row>
    <row r="87" spans="1:5">
      <c r="A87" t="s">
        <v>219</v>
      </c>
      <c r="B87" t="s">
        <v>220</v>
      </c>
      <c r="C87" t="s">
        <v>206</v>
      </c>
      <c r="D87" t="s">
        <v>62</v>
      </c>
      <c r="E87" s="33">
        <v>44599</v>
      </c>
    </row>
    <row r="88" spans="1:5">
      <c r="A88" t="s">
        <v>221</v>
      </c>
      <c r="B88" t="s">
        <v>222</v>
      </c>
      <c r="C88" t="s">
        <v>206</v>
      </c>
      <c r="D88" t="s">
        <v>62</v>
      </c>
      <c r="E88" s="33">
        <v>45310</v>
      </c>
    </row>
    <row r="89" spans="1:5">
      <c r="A89" t="s">
        <v>223</v>
      </c>
      <c r="B89" t="s">
        <v>224</v>
      </c>
      <c r="C89" t="s">
        <v>206</v>
      </c>
      <c r="D89" t="s">
        <v>62</v>
      </c>
      <c r="E89" s="33">
        <v>44903</v>
      </c>
    </row>
    <row r="90" spans="1:5">
      <c r="A90" t="s">
        <v>225</v>
      </c>
      <c r="B90" t="s">
        <v>226</v>
      </c>
      <c r="C90" t="s">
        <v>206</v>
      </c>
      <c r="D90" t="s">
        <v>62</v>
      </c>
      <c r="E90" s="33">
        <v>39722</v>
      </c>
    </row>
    <row r="91" spans="1:5">
      <c r="A91" t="s">
        <v>227</v>
      </c>
      <c r="B91" t="s">
        <v>228</v>
      </c>
      <c r="C91" t="s">
        <v>206</v>
      </c>
      <c r="D91" t="s">
        <v>62</v>
      </c>
      <c r="E91" s="33">
        <v>36384</v>
      </c>
    </row>
    <row r="92" spans="1:5">
      <c r="A92" t="s">
        <v>229</v>
      </c>
      <c r="B92" t="s">
        <v>230</v>
      </c>
      <c r="C92" t="s">
        <v>206</v>
      </c>
      <c r="D92" t="s">
        <v>62</v>
      </c>
      <c r="E92" s="33">
        <v>44699</v>
      </c>
    </row>
    <row r="93" spans="1:5">
      <c r="A93" t="s">
        <v>231</v>
      </c>
      <c r="B93" t="s">
        <v>232</v>
      </c>
      <c r="C93" t="s">
        <v>206</v>
      </c>
      <c r="D93" t="s">
        <v>62</v>
      </c>
      <c r="E93" s="33">
        <v>44823</v>
      </c>
    </row>
    <row r="94" spans="1:5">
      <c r="A94" t="s">
        <v>233</v>
      </c>
      <c r="B94" t="s">
        <v>234</v>
      </c>
      <c r="C94" t="s">
        <v>206</v>
      </c>
      <c r="D94" t="s">
        <v>62</v>
      </c>
      <c r="E94" s="33">
        <v>45524</v>
      </c>
    </row>
    <row r="95" spans="1:5">
      <c r="A95" t="s">
        <v>235</v>
      </c>
      <c r="B95" t="s">
        <v>236</v>
      </c>
      <c r="C95" t="s">
        <v>96</v>
      </c>
      <c r="D95" t="s">
        <v>42</v>
      </c>
      <c r="E95" s="33">
        <v>43725</v>
      </c>
    </row>
    <row r="96" spans="1:5">
      <c r="A96" t="s">
        <v>237</v>
      </c>
      <c r="B96" t="s">
        <v>238</v>
      </c>
      <c r="C96" t="s">
        <v>96</v>
      </c>
      <c r="D96" t="s">
        <v>42</v>
      </c>
      <c r="E96" s="33">
        <v>44176</v>
      </c>
    </row>
    <row r="97" spans="1:5">
      <c r="A97" t="s">
        <v>239</v>
      </c>
      <c r="B97" t="s">
        <v>240</v>
      </c>
      <c r="C97" t="s">
        <v>206</v>
      </c>
      <c r="D97" t="s">
        <v>62</v>
      </c>
      <c r="E97" s="33">
        <v>44599</v>
      </c>
    </row>
    <row r="98" spans="1:5">
      <c r="A98" t="s">
        <v>241</v>
      </c>
      <c r="B98" t="s">
        <v>242</v>
      </c>
      <c r="C98" t="s">
        <v>206</v>
      </c>
      <c r="D98" t="s">
        <v>62</v>
      </c>
      <c r="E98" s="33">
        <v>44265</v>
      </c>
    </row>
    <row r="99" spans="1:5">
      <c r="A99" t="s">
        <v>243</v>
      </c>
      <c r="B99" t="s">
        <v>244</v>
      </c>
      <c r="C99" t="s">
        <v>96</v>
      </c>
      <c r="D99" t="s">
        <v>42</v>
      </c>
      <c r="E99" s="33">
        <v>45434</v>
      </c>
    </row>
    <row r="100" spans="1:5">
      <c r="A100" t="s">
        <v>245</v>
      </c>
      <c r="B100" t="s">
        <v>246</v>
      </c>
      <c r="C100" t="s">
        <v>96</v>
      </c>
      <c r="D100" t="s">
        <v>42</v>
      </c>
      <c r="E100" s="33">
        <v>41093</v>
      </c>
    </row>
    <row r="101" spans="1:5">
      <c r="A101" t="s">
        <v>247</v>
      </c>
      <c r="B101" t="s">
        <v>248</v>
      </c>
      <c r="C101" t="s">
        <v>96</v>
      </c>
      <c r="D101" t="s">
        <v>42</v>
      </c>
      <c r="E101" s="33">
        <v>45434</v>
      </c>
    </row>
    <row r="102" spans="1:5">
      <c r="A102" t="s">
        <v>249</v>
      </c>
      <c r="B102" t="s">
        <v>250</v>
      </c>
      <c r="C102" t="s">
        <v>96</v>
      </c>
      <c r="D102" t="s">
        <v>42</v>
      </c>
      <c r="E102" s="33">
        <v>45434</v>
      </c>
    </row>
    <row r="103" spans="1:5">
      <c r="A103" t="s">
        <v>251</v>
      </c>
      <c r="B103" t="s">
        <v>252</v>
      </c>
      <c r="C103" t="s">
        <v>96</v>
      </c>
      <c r="D103" t="s">
        <v>42</v>
      </c>
      <c r="E103" s="33">
        <v>45524</v>
      </c>
    </row>
    <row r="104" spans="1:5">
      <c r="A104" t="s">
        <v>253</v>
      </c>
      <c r="B104" t="s">
        <v>254</v>
      </c>
      <c r="C104" t="s">
        <v>96</v>
      </c>
      <c r="D104" t="s">
        <v>42</v>
      </c>
      <c r="E104" s="33">
        <v>41899</v>
      </c>
    </row>
    <row r="105" spans="1:5">
      <c r="A105" t="s">
        <v>255</v>
      </c>
      <c r="B105" t="s">
        <v>256</v>
      </c>
      <c r="C105" t="s">
        <v>96</v>
      </c>
      <c r="D105" t="s">
        <v>42</v>
      </c>
      <c r="E105" s="33">
        <v>40366</v>
      </c>
    </row>
    <row r="106" spans="1:5">
      <c r="A106" t="s">
        <v>257</v>
      </c>
      <c r="B106" t="s">
        <v>258</v>
      </c>
      <c r="C106" t="s">
        <v>96</v>
      </c>
      <c r="D106" t="s">
        <v>42</v>
      </c>
      <c r="E106" s="33">
        <v>45391</v>
      </c>
    </row>
    <row r="107" spans="1:5">
      <c r="A107" t="s">
        <v>259</v>
      </c>
      <c r="B107" t="s">
        <v>260</v>
      </c>
      <c r="C107" t="s">
        <v>96</v>
      </c>
      <c r="D107" t="s">
        <v>42</v>
      </c>
      <c r="E107" s="33">
        <v>41656</v>
      </c>
    </row>
    <row r="108" spans="1:5">
      <c r="A108" t="s">
        <v>261</v>
      </c>
      <c r="B108" t="s">
        <v>262</v>
      </c>
      <c r="C108" t="s">
        <v>96</v>
      </c>
      <c r="D108" t="s">
        <v>42</v>
      </c>
      <c r="E108" s="33">
        <v>45604</v>
      </c>
    </row>
    <row r="109" spans="1:5">
      <c r="A109" t="s">
        <v>263</v>
      </c>
      <c r="B109" t="s">
        <v>264</v>
      </c>
      <c r="C109" t="s">
        <v>96</v>
      </c>
      <c r="D109" t="s">
        <v>42</v>
      </c>
      <c r="E109" s="33">
        <v>39526</v>
      </c>
    </row>
    <row r="110" spans="1:5">
      <c r="A110" t="s">
        <v>265</v>
      </c>
      <c r="B110" t="s">
        <v>266</v>
      </c>
      <c r="C110" t="s">
        <v>96</v>
      </c>
      <c r="D110" t="s">
        <v>42</v>
      </c>
      <c r="E110" s="33">
        <v>45349</v>
      </c>
    </row>
    <row r="111" spans="1:5">
      <c r="A111" t="s">
        <v>267</v>
      </c>
      <c r="B111" t="s">
        <v>268</v>
      </c>
      <c r="C111" t="s">
        <v>96</v>
      </c>
      <c r="D111" t="s">
        <v>42</v>
      </c>
      <c r="E111" s="33">
        <v>44677</v>
      </c>
    </row>
    <row r="112" spans="1:5">
      <c r="A112" t="s">
        <v>269</v>
      </c>
      <c r="B112" t="s">
        <v>270</v>
      </c>
      <c r="C112" t="s">
        <v>96</v>
      </c>
      <c r="D112" t="s">
        <v>42</v>
      </c>
      <c r="E112" s="33">
        <v>45531</v>
      </c>
    </row>
    <row r="113" spans="1:5">
      <c r="A113" t="s">
        <v>271</v>
      </c>
      <c r="B113" t="s">
        <v>272</v>
      </c>
      <c r="C113" t="s">
        <v>96</v>
      </c>
      <c r="D113" t="s">
        <v>42</v>
      </c>
      <c r="E113" s="33">
        <v>42884</v>
      </c>
    </row>
    <row r="114" spans="1:5">
      <c r="A114" t="s">
        <v>273</v>
      </c>
      <c r="B114" t="s">
        <v>274</v>
      </c>
      <c r="C114" t="s">
        <v>96</v>
      </c>
      <c r="D114" t="s">
        <v>42</v>
      </c>
      <c r="E114" s="33">
        <v>36648</v>
      </c>
    </row>
    <row r="115" spans="1:5">
      <c r="A115" t="s">
        <v>275</v>
      </c>
      <c r="B115" t="s">
        <v>276</v>
      </c>
      <c r="C115" t="s">
        <v>96</v>
      </c>
      <c r="D115" t="s">
        <v>42</v>
      </c>
      <c r="E115" s="33">
        <v>45686</v>
      </c>
    </row>
    <row r="116" spans="1:5">
      <c r="A116" t="s">
        <v>277</v>
      </c>
      <c r="B116" t="s">
        <v>278</v>
      </c>
      <c r="C116" t="s">
        <v>96</v>
      </c>
      <c r="D116" t="s">
        <v>42</v>
      </c>
      <c r="E116" s="33">
        <v>44319</v>
      </c>
    </row>
    <row r="117" spans="1:5">
      <c r="A117" t="s">
        <v>279</v>
      </c>
      <c r="B117" t="s">
        <v>280</v>
      </c>
      <c r="C117" t="s">
        <v>96</v>
      </c>
      <c r="D117" t="s">
        <v>42</v>
      </c>
      <c r="E117" s="33">
        <v>45453</v>
      </c>
    </row>
    <row r="118" spans="1:5">
      <c r="A118" t="s">
        <v>281</v>
      </c>
      <c r="B118" t="s">
        <v>282</v>
      </c>
      <c r="C118" t="s">
        <v>96</v>
      </c>
      <c r="D118" t="s">
        <v>42</v>
      </c>
      <c r="E118" s="33">
        <v>45686</v>
      </c>
    </row>
    <row r="119" spans="1:5">
      <c r="A119" t="s">
        <v>283</v>
      </c>
      <c r="B119" t="s">
        <v>284</v>
      </c>
      <c r="C119" t="s">
        <v>96</v>
      </c>
      <c r="D119" t="s">
        <v>42</v>
      </c>
      <c r="E119" s="33">
        <v>45604</v>
      </c>
    </row>
    <row r="120" spans="1:5">
      <c r="A120" t="s">
        <v>285</v>
      </c>
      <c r="B120" t="s">
        <v>286</v>
      </c>
      <c r="C120" t="s">
        <v>287</v>
      </c>
      <c r="D120" t="s">
        <v>62</v>
      </c>
      <c r="E120" s="33">
        <v>40120</v>
      </c>
    </row>
    <row r="121" spans="1:5">
      <c r="A121" t="s">
        <v>288</v>
      </c>
      <c r="B121" t="s">
        <v>289</v>
      </c>
      <c r="C121" t="s">
        <v>287</v>
      </c>
      <c r="D121" t="s">
        <v>62</v>
      </c>
      <c r="E121" s="33">
        <v>44851</v>
      </c>
    </row>
    <row r="122" spans="1:5">
      <c r="A122" t="s">
        <v>290</v>
      </c>
      <c r="B122" t="s">
        <v>291</v>
      </c>
      <c r="C122" t="s">
        <v>287</v>
      </c>
      <c r="D122" t="s">
        <v>62</v>
      </c>
      <c r="E122" s="33">
        <v>33605</v>
      </c>
    </row>
    <row r="123" spans="1:5">
      <c r="A123" t="s">
        <v>292</v>
      </c>
      <c r="B123" t="s">
        <v>293</v>
      </c>
      <c r="C123" t="s">
        <v>287</v>
      </c>
      <c r="D123" t="s">
        <v>62</v>
      </c>
      <c r="E123" s="33">
        <v>35024</v>
      </c>
    </row>
    <row r="124" spans="1:5">
      <c r="A124" t="s">
        <v>294</v>
      </c>
      <c r="B124" t="s">
        <v>295</v>
      </c>
      <c r="C124" t="s">
        <v>287</v>
      </c>
      <c r="D124" t="s">
        <v>62</v>
      </c>
      <c r="E124" s="33">
        <v>40651</v>
      </c>
    </row>
    <row r="125" spans="1:5">
      <c r="A125" t="s">
        <v>296</v>
      </c>
      <c r="B125" t="s">
        <v>297</v>
      </c>
      <c r="C125" t="s">
        <v>287</v>
      </c>
      <c r="D125" t="s">
        <v>62</v>
      </c>
      <c r="E125" s="33">
        <v>43217</v>
      </c>
    </row>
    <row r="126" spans="1:5">
      <c r="A126" t="s">
        <v>298</v>
      </c>
      <c r="B126" t="s">
        <v>299</v>
      </c>
      <c r="C126" t="s">
        <v>287</v>
      </c>
      <c r="D126" t="s">
        <v>62</v>
      </c>
      <c r="E126" s="33">
        <v>42102</v>
      </c>
    </row>
    <row r="127" spans="1:5">
      <c r="A127" t="s">
        <v>300</v>
      </c>
      <c r="B127" t="s">
        <v>301</v>
      </c>
      <c r="C127" t="s">
        <v>287</v>
      </c>
      <c r="D127" t="s">
        <v>62</v>
      </c>
      <c r="E127" s="33">
        <v>40800</v>
      </c>
    </row>
    <row r="128" spans="1:5">
      <c r="A128" t="s">
        <v>302</v>
      </c>
      <c r="B128" t="s">
        <v>303</v>
      </c>
      <c r="C128" t="s">
        <v>287</v>
      </c>
      <c r="D128" t="s">
        <v>62</v>
      </c>
      <c r="E128" s="33">
        <v>37887</v>
      </c>
    </row>
    <row r="129" spans="1:5">
      <c r="A129" t="s">
        <v>304</v>
      </c>
      <c r="B129" t="s">
        <v>305</v>
      </c>
      <c r="C129" t="s">
        <v>287</v>
      </c>
      <c r="D129" t="s">
        <v>62</v>
      </c>
      <c r="E129" s="33">
        <v>41540</v>
      </c>
    </row>
    <row r="130" spans="1:5">
      <c r="A130" t="s">
        <v>306</v>
      </c>
      <c r="B130" t="s">
        <v>307</v>
      </c>
      <c r="C130" t="s">
        <v>287</v>
      </c>
      <c r="D130" t="s">
        <v>62</v>
      </c>
      <c r="E130" s="33">
        <v>42271</v>
      </c>
    </row>
    <row r="131" spans="1:5">
      <c r="A131" t="s">
        <v>308</v>
      </c>
      <c r="B131" t="s">
        <v>309</v>
      </c>
      <c r="C131" t="s">
        <v>287</v>
      </c>
      <c r="D131" t="s">
        <v>62</v>
      </c>
      <c r="E131" s="33">
        <v>45126</v>
      </c>
    </row>
    <row r="132" spans="1:5">
      <c r="A132" t="s">
        <v>310</v>
      </c>
      <c r="B132" t="s">
        <v>311</v>
      </c>
      <c r="C132" t="s">
        <v>287</v>
      </c>
      <c r="D132" t="s">
        <v>62</v>
      </c>
      <c r="E132" s="33">
        <v>41933</v>
      </c>
    </row>
    <row r="133" spans="1:5">
      <c r="A133" t="s">
        <v>312</v>
      </c>
      <c r="B133" t="s">
        <v>313</v>
      </c>
      <c r="C133" t="s">
        <v>287</v>
      </c>
      <c r="D133" t="s">
        <v>62</v>
      </c>
      <c r="E133" s="33">
        <v>42102</v>
      </c>
    </row>
    <row r="134" spans="1:5">
      <c r="A134" t="s">
        <v>314</v>
      </c>
      <c r="B134" t="s">
        <v>315</v>
      </c>
      <c r="C134" t="s">
        <v>77</v>
      </c>
      <c r="D134" t="s">
        <v>62</v>
      </c>
      <c r="E134" s="33">
        <v>45040</v>
      </c>
    </row>
    <row r="135" spans="1:5">
      <c r="A135" t="s">
        <v>316</v>
      </c>
      <c r="B135" t="s">
        <v>317</v>
      </c>
      <c r="C135" t="s">
        <v>318</v>
      </c>
      <c r="D135" t="s">
        <v>62</v>
      </c>
      <c r="E135" s="33">
        <v>39113</v>
      </c>
    </row>
    <row r="136" spans="1:5">
      <c r="A136" t="s">
        <v>319</v>
      </c>
      <c r="B136" t="s">
        <v>320</v>
      </c>
      <c r="C136" t="s">
        <v>318</v>
      </c>
      <c r="D136" t="s">
        <v>62</v>
      </c>
      <c r="E136" s="33">
        <v>41276</v>
      </c>
    </row>
    <row r="137" spans="1:5">
      <c r="A137" t="s">
        <v>321</v>
      </c>
      <c r="B137" t="s">
        <v>322</v>
      </c>
      <c r="C137" t="s">
        <v>318</v>
      </c>
      <c r="D137" t="s">
        <v>62</v>
      </c>
      <c r="E137" s="33">
        <v>41225</v>
      </c>
    </row>
    <row r="138" spans="1:5">
      <c r="A138" t="s">
        <v>323</v>
      </c>
      <c r="B138" t="s">
        <v>324</v>
      </c>
      <c r="C138" t="s">
        <v>318</v>
      </c>
      <c r="D138" t="s">
        <v>62</v>
      </c>
      <c r="E138" s="33">
        <v>45852</v>
      </c>
    </row>
    <row r="139" spans="1:5">
      <c r="A139" t="s">
        <v>325</v>
      </c>
      <c r="B139" t="s">
        <v>326</v>
      </c>
      <c r="C139" t="s">
        <v>318</v>
      </c>
      <c r="D139" t="s">
        <v>62</v>
      </c>
      <c r="E139" s="33">
        <v>44903</v>
      </c>
    </row>
    <row r="140" spans="1:5">
      <c r="A140" t="s">
        <v>327</v>
      </c>
      <c r="B140" t="s">
        <v>328</v>
      </c>
      <c r="C140" t="s">
        <v>318</v>
      </c>
      <c r="D140" t="s">
        <v>62</v>
      </c>
      <c r="E140" s="33">
        <v>45894</v>
      </c>
    </row>
    <row r="141" spans="1:5">
      <c r="A141" t="s">
        <v>329</v>
      </c>
      <c r="B141" t="s">
        <v>330</v>
      </c>
      <c r="C141" t="s">
        <v>318</v>
      </c>
      <c r="D141" t="s">
        <v>62</v>
      </c>
      <c r="E141" s="33">
        <v>45845</v>
      </c>
    </row>
    <row r="142" spans="1:5">
      <c r="A142" t="s">
        <v>331</v>
      </c>
      <c r="B142" t="s">
        <v>332</v>
      </c>
      <c r="C142" t="s">
        <v>318</v>
      </c>
      <c r="D142" t="s">
        <v>62</v>
      </c>
      <c r="E142" s="33">
        <v>45881</v>
      </c>
    </row>
    <row r="143" spans="1:5">
      <c r="A143" t="s">
        <v>333</v>
      </c>
      <c r="B143" t="s">
        <v>334</v>
      </c>
      <c r="C143" t="s">
        <v>41</v>
      </c>
      <c r="D143" t="s">
        <v>42</v>
      </c>
      <c r="E143" s="33">
        <v>40687</v>
      </c>
    </row>
    <row r="144" spans="1:5">
      <c r="A144" t="s">
        <v>335</v>
      </c>
      <c r="B144" t="s">
        <v>336</v>
      </c>
      <c r="C144" t="s">
        <v>318</v>
      </c>
      <c r="D144" t="s">
        <v>62</v>
      </c>
      <c r="E144" s="33">
        <v>45909</v>
      </c>
    </row>
    <row r="145" spans="1:5">
      <c r="A145" t="s">
        <v>337</v>
      </c>
      <c r="B145" t="s">
        <v>338</v>
      </c>
      <c r="C145" t="s">
        <v>318</v>
      </c>
      <c r="D145" t="s">
        <v>62</v>
      </c>
      <c r="E145" s="33">
        <v>45881</v>
      </c>
    </row>
    <row r="146" spans="1:5">
      <c r="A146" t="s">
        <v>339</v>
      </c>
      <c r="B146" t="s">
        <v>340</v>
      </c>
      <c r="C146" t="s">
        <v>318</v>
      </c>
      <c r="D146" t="s">
        <v>62</v>
      </c>
      <c r="E146" s="33">
        <v>45056</v>
      </c>
    </row>
    <row r="147" spans="1:5">
      <c r="A147" t="s">
        <v>341</v>
      </c>
      <c r="B147" t="s">
        <v>342</v>
      </c>
      <c r="C147" t="s">
        <v>41</v>
      </c>
      <c r="D147" t="s">
        <v>42</v>
      </c>
      <c r="E147" s="33">
        <v>43689</v>
      </c>
    </row>
    <row r="148" spans="1:5">
      <c r="A148" t="s">
        <v>343</v>
      </c>
      <c r="B148" t="s">
        <v>344</v>
      </c>
      <c r="C148" t="s">
        <v>318</v>
      </c>
      <c r="D148" t="s">
        <v>62</v>
      </c>
      <c r="E148" s="33">
        <v>45103</v>
      </c>
    </row>
    <row r="149" spans="1:5">
      <c r="A149" t="s">
        <v>345</v>
      </c>
      <c r="B149" t="s">
        <v>346</v>
      </c>
      <c r="C149" t="s">
        <v>318</v>
      </c>
      <c r="D149" t="s">
        <v>62</v>
      </c>
      <c r="E149" s="33">
        <v>42751</v>
      </c>
    </row>
    <row r="150" spans="1:5">
      <c r="A150" t="s">
        <v>347</v>
      </c>
      <c r="B150" t="s">
        <v>348</v>
      </c>
      <c r="C150" t="s">
        <v>41</v>
      </c>
      <c r="D150" t="s">
        <v>42</v>
      </c>
      <c r="E150" s="33">
        <v>40457</v>
      </c>
    </row>
    <row r="151" spans="1:5">
      <c r="A151" t="s">
        <v>349</v>
      </c>
      <c r="B151" t="s">
        <v>350</v>
      </c>
      <c r="C151" t="s">
        <v>318</v>
      </c>
      <c r="D151" t="s">
        <v>62</v>
      </c>
      <c r="E151" s="33">
        <v>45663</v>
      </c>
    </row>
    <row r="152" spans="1:5">
      <c r="A152" t="s">
        <v>351</v>
      </c>
      <c r="B152" t="s">
        <v>352</v>
      </c>
      <c r="C152" t="s">
        <v>318</v>
      </c>
      <c r="D152" t="s">
        <v>62</v>
      </c>
      <c r="E152" s="33">
        <v>45118</v>
      </c>
    </row>
    <row r="153" spans="1:5">
      <c r="A153" t="s">
        <v>353</v>
      </c>
      <c r="B153" t="s">
        <v>354</v>
      </c>
      <c r="C153" t="s">
        <v>318</v>
      </c>
      <c r="D153" t="s">
        <v>62</v>
      </c>
      <c r="E153" s="33">
        <v>45068</v>
      </c>
    </row>
    <row r="154" spans="1:5">
      <c r="A154" t="s">
        <v>355</v>
      </c>
      <c r="B154" t="s">
        <v>356</v>
      </c>
      <c r="C154" t="s">
        <v>357</v>
      </c>
      <c r="D154" t="s">
        <v>62</v>
      </c>
      <c r="E154" s="33">
        <v>41082</v>
      </c>
    </row>
    <row r="155" spans="1:5">
      <c r="A155" t="s">
        <v>358</v>
      </c>
      <c r="B155" t="s">
        <v>359</v>
      </c>
      <c r="C155" t="s">
        <v>357</v>
      </c>
      <c r="D155" t="s">
        <v>62</v>
      </c>
      <c r="E155" s="33">
        <v>41540</v>
      </c>
    </row>
    <row r="156" spans="1:5">
      <c r="A156" t="s">
        <v>360</v>
      </c>
      <c r="B156" t="s">
        <v>361</v>
      </c>
      <c r="C156" t="s">
        <v>357</v>
      </c>
      <c r="D156" t="s">
        <v>62</v>
      </c>
      <c r="E156" s="33">
        <v>44118</v>
      </c>
    </row>
    <row r="157" spans="1:5">
      <c r="A157" t="s">
        <v>362</v>
      </c>
      <c r="B157" t="s">
        <v>363</v>
      </c>
      <c r="C157" t="s">
        <v>357</v>
      </c>
      <c r="D157" t="s">
        <v>62</v>
      </c>
      <c r="E157" s="33">
        <v>44036</v>
      </c>
    </row>
    <row r="158" spans="1:5">
      <c r="A158" t="s">
        <v>364</v>
      </c>
      <c r="B158" t="s">
        <v>365</v>
      </c>
      <c r="C158" t="s">
        <v>357</v>
      </c>
      <c r="D158" t="s">
        <v>62</v>
      </c>
      <c r="E158" s="33">
        <v>41082</v>
      </c>
    </row>
    <row r="159" spans="1:5">
      <c r="A159" t="s">
        <v>366</v>
      </c>
      <c r="B159" t="s">
        <v>367</v>
      </c>
      <c r="C159" t="s">
        <v>357</v>
      </c>
      <c r="D159" t="s">
        <v>62</v>
      </c>
      <c r="E159" s="33">
        <v>40330</v>
      </c>
    </row>
    <row r="160" spans="1:5">
      <c r="A160" t="s">
        <v>368</v>
      </c>
      <c r="B160" t="s">
        <v>369</v>
      </c>
      <c r="C160" t="s">
        <v>357</v>
      </c>
      <c r="D160" t="s">
        <v>62</v>
      </c>
      <c r="E160" s="33">
        <v>38600</v>
      </c>
    </row>
    <row r="161" spans="1:5">
      <c r="A161" t="s">
        <v>370</v>
      </c>
      <c r="B161" t="s">
        <v>371</v>
      </c>
      <c r="C161" t="s">
        <v>357</v>
      </c>
      <c r="D161" t="s">
        <v>62</v>
      </c>
      <c r="E161" s="33">
        <v>40773</v>
      </c>
    </row>
    <row r="162" spans="1:5">
      <c r="A162" t="s">
        <v>372</v>
      </c>
      <c r="B162" t="s">
        <v>373</v>
      </c>
      <c r="C162" t="s">
        <v>374</v>
      </c>
      <c r="D162" t="s">
        <v>42</v>
      </c>
      <c r="E162" s="33">
        <v>41352</v>
      </c>
    </row>
    <row r="163" spans="1:5">
      <c r="A163" t="s">
        <v>375</v>
      </c>
      <c r="B163" t="s">
        <v>376</v>
      </c>
      <c r="C163" t="s">
        <v>374</v>
      </c>
      <c r="D163" t="s">
        <v>42</v>
      </c>
      <c r="E163" s="33">
        <v>42913</v>
      </c>
    </row>
    <row r="164" spans="1:5">
      <c r="A164" t="s">
        <v>377</v>
      </c>
      <c r="B164" t="s">
        <v>378</v>
      </c>
      <c r="C164" t="s">
        <v>374</v>
      </c>
      <c r="D164" t="s">
        <v>42</v>
      </c>
      <c r="E164" s="33">
        <v>44662</v>
      </c>
    </row>
    <row r="165" spans="1:5">
      <c r="A165" t="s">
        <v>379</v>
      </c>
      <c r="B165" t="s">
        <v>380</v>
      </c>
      <c r="C165" t="s">
        <v>374</v>
      </c>
      <c r="D165" t="s">
        <v>42</v>
      </c>
      <c r="E165" s="33">
        <v>43607</v>
      </c>
    </row>
    <row r="166" spans="1:5">
      <c r="A166" t="s">
        <v>381</v>
      </c>
      <c r="B166" t="s">
        <v>382</v>
      </c>
      <c r="C166" t="s">
        <v>374</v>
      </c>
      <c r="D166" t="s">
        <v>42</v>
      </c>
      <c r="E166" s="33">
        <v>44831</v>
      </c>
    </row>
    <row r="167" spans="1:5">
      <c r="A167" t="s">
        <v>383</v>
      </c>
      <c r="B167" t="s">
        <v>384</v>
      </c>
      <c r="C167" t="s">
        <v>374</v>
      </c>
      <c r="D167" t="s">
        <v>42</v>
      </c>
      <c r="E167" s="33">
        <v>41183</v>
      </c>
    </row>
    <row r="168" spans="1:5">
      <c r="A168" t="s">
        <v>385</v>
      </c>
      <c r="B168" t="s">
        <v>386</v>
      </c>
      <c r="C168" t="s">
        <v>374</v>
      </c>
      <c r="D168" t="s">
        <v>42</v>
      </c>
      <c r="E168" s="33">
        <v>44662</v>
      </c>
    </row>
    <row r="169" spans="1:5">
      <c r="A169" t="s">
        <v>387</v>
      </c>
      <c r="B169" t="s">
        <v>388</v>
      </c>
      <c r="C169" t="s">
        <v>374</v>
      </c>
      <c r="D169" t="s">
        <v>42</v>
      </c>
      <c r="E169" s="33">
        <v>40214</v>
      </c>
    </row>
    <row r="170" spans="1:5">
      <c r="A170" t="s">
        <v>389</v>
      </c>
      <c r="B170" t="s">
        <v>390</v>
      </c>
      <c r="C170" t="s">
        <v>374</v>
      </c>
      <c r="D170" t="s">
        <v>42</v>
      </c>
      <c r="E170" s="33">
        <v>44720</v>
      </c>
    </row>
    <row r="171" spans="1:5">
      <c r="A171" t="s">
        <v>391</v>
      </c>
      <c r="B171" t="s">
        <v>392</v>
      </c>
      <c r="C171" t="s">
        <v>374</v>
      </c>
      <c r="D171" t="s">
        <v>42</v>
      </c>
      <c r="E171" s="33">
        <v>41155</v>
      </c>
    </row>
    <row r="172" spans="1:5">
      <c r="A172" t="s">
        <v>393</v>
      </c>
      <c r="B172" t="s">
        <v>394</v>
      </c>
      <c r="C172" t="s">
        <v>374</v>
      </c>
      <c r="D172" t="s">
        <v>42</v>
      </c>
      <c r="E172" s="33">
        <v>41411</v>
      </c>
    </row>
    <row r="173" spans="1:5">
      <c r="A173" t="s">
        <v>395</v>
      </c>
      <c r="B173" t="s">
        <v>396</v>
      </c>
      <c r="C173" t="s">
        <v>374</v>
      </c>
      <c r="D173" t="s">
        <v>42</v>
      </c>
      <c r="E173" s="33">
        <v>40035</v>
      </c>
    </row>
    <row r="174" spans="1:5">
      <c r="A174" t="s">
        <v>397</v>
      </c>
      <c r="B174" t="s">
        <v>398</v>
      </c>
      <c r="C174" t="s">
        <v>374</v>
      </c>
      <c r="D174" t="s">
        <v>42</v>
      </c>
      <c r="E174" s="33">
        <v>35145</v>
      </c>
    </row>
    <row r="175" spans="1:5">
      <c r="A175" t="s">
        <v>399</v>
      </c>
      <c r="B175" t="s">
        <v>400</v>
      </c>
      <c r="C175" t="s">
        <v>93</v>
      </c>
      <c r="D175" t="s">
        <v>62</v>
      </c>
      <c r="E175" s="33">
        <v>42415</v>
      </c>
    </row>
    <row r="176" spans="1:5">
      <c r="A176" t="s">
        <v>401</v>
      </c>
      <c r="B176" t="s">
        <v>402</v>
      </c>
      <c r="C176" t="s">
        <v>93</v>
      </c>
      <c r="D176" t="s">
        <v>62</v>
      </c>
      <c r="E176" s="33">
        <v>45686</v>
      </c>
    </row>
    <row r="177" spans="1:5">
      <c r="A177" t="s">
        <v>403</v>
      </c>
      <c r="B177" t="s">
        <v>404</v>
      </c>
      <c r="C177" t="s">
        <v>93</v>
      </c>
      <c r="D177" t="s">
        <v>62</v>
      </c>
      <c r="E177" s="33">
        <v>42075</v>
      </c>
    </row>
    <row r="178" spans="1:5">
      <c r="A178" t="s">
        <v>405</v>
      </c>
      <c r="B178" t="s">
        <v>406</v>
      </c>
      <c r="C178" t="s">
        <v>93</v>
      </c>
      <c r="D178" t="s">
        <v>62</v>
      </c>
      <c r="E178" s="33">
        <v>43752</v>
      </c>
    </row>
    <row r="179" spans="1:5">
      <c r="A179" t="s">
        <v>407</v>
      </c>
      <c r="B179" t="s">
        <v>408</v>
      </c>
      <c r="C179" t="s">
        <v>93</v>
      </c>
      <c r="D179" t="s">
        <v>62</v>
      </c>
      <c r="E179" s="33">
        <v>40459</v>
      </c>
    </row>
    <row r="180" spans="1:5">
      <c r="A180" t="s">
        <v>409</v>
      </c>
      <c r="B180" t="s">
        <v>410</v>
      </c>
      <c r="C180" t="s">
        <v>93</v>
      </c>
      <c r="D180" t="s">
        <v>62</v>
      </c>
      <c r="E180" s="33">
        <v>36039</v>
      </c>
    </row>
    <row r="181" spans="1:5">
      <c r="A181" t="s">
        <v>411</v>
      </c>
      <c r="B181" t="s">
        <v>412</v>
      </c>
      <c r="C181" t="s">
        <v>93</v>
      </c>
      <c r="D181" t="s">
        <v>62</v>
      </c>
      <c r="E181" s="33">
        <v>41017</v>
      </c>
    </row>
    <row r="182" spans="1:5">
      <c r="A182" t="s">
        <v>413</v>
      </c>
      <c r="B182" t="s">
        <v>414</v>
      </c>
      <c r="C182" t="s">
        <v>93</v>
      </c>
      <c r="D182" t="s">
        <v>62</v>
      </c>
      <c r="E182" s="33">
        <v>44642</v>
      </c>
    </row>
    <row r="183" spans="1:5">
      <c r="A183" t="s">
        <v>415</v>
      </c>
      <c r="B183" t="s">
        <v>416</v>
      </c>
      <c r="C183" t="s">
        <v>93</v>
      </c>
      <c r="D183" t="s">
        <v>62</v>
      </c>
      <c r="E183" s="33">
        <v>39661</v>
      </c>
    </row>
    <row r="184" spans="1:5">
      <c r="A184" t="s">
        <v>417</v>
      </c>
      <c r="B184" t="s">
        <v>418</v>
      </c>
      <c r="C184" t="s">
        <v>93</v>
      </c>
      <c r="D184" t="s">
        <v>62</v>
      </c>
      <c r="E184" s="33">
        <v>44998</v>
      </c>
    </row>
    <row r="185" spans="1:5">
      <c r="A185" t="s">
        <v>419</v>
      </c>
      <c r="B185" t="s">
        <v>420</v>
      </c>
      <c r="C185" t="s">
        <v>93</v>
      </c>
      <c r="D185" t="s">
        <v>62</v>
      </c>
      <c r="E185" s="33">
        <v>45365</v>
      </c>
    </row>
    <row r="186" spans="1:5">
      <c r="A186" t="s">
        <v>421</v>
      </c>
      <c r="B186" t="s">
        <v>422</v>
      </c>
      <c r="C186" t="s">
        <v>93</v>
      </c>
      <c r="D186" t="s">
        <v>62</v>
      </c>
      <c r="E186" s="33">
        <v>44943</v>
      </c>
    </row>
    <row r="187" spans="1:5">
      <c r="A187" t="s">
        <v>423</v>
      </c>
      <c r="B187" t="s">
        <v>424</v>
      </c>
      <c r="C187" t="s">
        <v>93</v>
      </c>
      <c r="D187" t="s">
        <v>62</v>
      </c>
      <c r="E187" s="33">
        <v>45775</v>
      </c>
    </row>
    <row r="188" spans="1:5">
      <c r="A188" t="s">
        <v>425</v>
      </c>
      <c r="B188" t="s">
        <v>426</v>
      </c>
      <c r="C188" t="s">
        <v>93</v>
      </c>
      <c r="D188" t="s">
        <v>62</v>
      </c>
      <c r="E188" s="33">
        <v>39741</v>
      </c>
    </row>
    <row r="189" spans="1:5">
      <c r="A189" t="s">
        <v>427</v>
      </c>
      <c r="B189" t="s">
        <v>428</v>
      </c>
      <c r="C189" t="s">
        <v>93</v>
      </c>
      <c r="D189" t="s">
        <v>62</v>
      </c>
      <c r="E189" s="33">
        <v>39952</v>
      </c>
    </row>
    <row r="190" spans="1:5">
      <c r="A190" t="s">
        <v>429</v>
      </c>
      <c r="B190" t="s">
        <v>430</v>
      </c>
      <c r="C190" t="s">
        <v>93</v>
      </c>
      <c r="D190" t="s">
        <v>62</v>
      </c>
      <c r="E190" s="33">
        <v>40995</v>
      </c>
    </row>
    <row r="191" spans="1:5">
      <c r="A191" t="s">
        <v>431</v>
      </c>
      <c r="B191" t="s">
        <v>432</v>
      </c>
      <c r="C191" t="s">
        <v>93</v>
      </c>
      <c r="D191" t="s">
        <v>62</v>
      </c>
      <c r="E191" s="33">
        <v>41003</v>
      </c>
    </row>
    <row r="192" spans="1:5">
      <c r="A192" t="s">
        <v>433</v>
      </c>
      <c r="B192" t="s">
        <v>434</v>
      </c>
      <c r="C192" t="s">
        <v>93</v>
      </c>
      <c r="D192" t="s">
        <v>62</v>
      </c>
      <c r="E192" s="33">
        <v>42314</v>
      </c>
    </row>
    <row r="193" spans="1:5">
      <c r="A193" t="s">
        <v>435</v>
      </c>
      <c r="B193" t="s">
        <v>436</v>
      </c>
      <c r="C193" t="s">
        <v>93</v>
      </c>
      <c r="D193" t="s">
        <v>62</v>
      </c>
      <c r="E193" s="33">
        <v>41548</v>
      </c>
    </row>
    <row r="194" spans="1:5">
      <c r="A194" t="s">
        <v>437</v>
      </c>
      <c r="B194" t="s">
        <v>438</v>
      </c>
      <c r="C194" t="s">
        <v>93</v>
      </c>
      <c r="D194" t="s">
        <v>62</v>
      </c>
      <c r="E194" s="33">
        <v>40394</v>
      </c>
    </row>
    <row r="195" spans="1:5">
      <c r="A195" t="s">
        <v>439</v>
      </c>
      <c r="B195" t="s">
        <v>440</v>
      </c>
      <c r="C195" t="s">
        <v>93</v>
      </c>
      <c r="D195" t="s">
        <v>62</v>
      </c>
      <c r="E195" s="33">
        <v>37904</v>
      </c>
    </row>
    <row r="196" spans="1:5">
      <c r="A196" t="s">
        <v>441</v>
      </c>
      <c r="B196" t="s">
        <v>442</v>
      </c>
      <c r="C196" t="s">
        <v>93</v>
      </c>
      <c r="D196" t="s">
        <v>62</v>
      </c>
      <c r="E196" s="33">
        <v>44998</v>
      </c>
    </row>
    <row r="197" spans="1:5">
      <c r="A197" t="s">
        <v>443</v>
      </c>
      <c r="B197" t="s">
        <v>444</v>
      </c>
      <c r="C197" t="s">
        <v>93</v>
      </c>
      <c r="D197" t="s">
        <v>62</v>
      </c>
      <c r="E197" s="33">
        <v>41444</v>
      </c>
    </row>
    <row r="198" spans="1:5">
      <c r="A198" t="s">
        <v>445</v>
      </c>
      <c r="B198" t="s">
        <v>446</v>
      </c>
      <c r="C198" t="s">
        <v>93</v>
      </c>
      <c r="D198" t="s">
        <v>62</v>
      </c>
      <c r="E198" s="33">
        <v>38756</v>
      </c>
    </row>
    <row r="199" spans="1:5">
      <c r="A199" t="s">
        <v>447</v>
      </c>
      <c r="B199" t="s">
        <v>448</v>
      </c>
      <c r="C199" t="s">
        <v>449</v>
      </c>
      <c r="D199" t="s">
        <v>62</v>
      </c>
      <c r="E199" s="33">
        <v>45580</v>
      </c>
    </row>
    <row r="200" spans="1:5">
      <c r="A200" t="s">
        <v>450</v>
      </c>
      <c r="B200" t="s">
        <v>451</v>
      </c>
      <c r="C200" t="s">
        <v>449</v>
      </c>
      <c r="D200" t="s">
        <v>62</v>
      </c>
      <c r="E200" s="33">
        <v>45359</v>
      </c>
    </row>
    <row r="201" spans="1:5">
      <c r="A201" t="s">
        <v>452</v>
      </c>
      <c r="B201" t="s">
        <v>453</v>
      </c>
      <c r="C201" t="s">
        <v>449</v>
      </c>
      <c r="D201" t="s">
        <v>62</v>
      </c>
      <c r="E201" s="33">
        <v>45359</v>
      </c>
    </row>
    <row r="202" spans="1:5">
      <c r="A202" t="s">
        <v>454</v>
      </c>
      <c r="B202" t="s">
        <v>455</v>
      </c>
      <c r="C202" t="s">
        <v>449</v>
      </c>
      <c r="D202" t="s">
        <v>62</v>
      </c>
      <c r="E202" s="33">
        <v>45624</v>
      </c>
    </row>
    <row r="203" spans="1:5">
      <c r="A203" t="s">
        <v>456</v>
      </c>
      <c r="B203" t="s">
        <v>457</v>
      </c>
      <c r="C203" t="s">
        <v>449</v>
      </c>
      <c r="D203" t="s">
        <v>62</v>
      </c>
      <c r="E203" s="33">
        <v>43152</v>
      </c>
    </row>
    <row r="204" spans="1:5">
      <c r="A204" t="s">
        <v>458</v>
      </c>
      <c r="B204" t="s">
        <v>459</v>
      </c>
      <c r="C204" t="s">
        <v>449</v>
      </c>
      <c r="D204" t="s">
        <v>62</v>
      </c>
      <c r="E204" s="33">
        <v>45580</v>
      </c>
    </row>
    <row r="205" spans="1:5">
      <c r="A205" t="s">
        <v>460</v>
      </c>
      <c r="B205" t="s">
        <v>461</v>
      </c>
      <c r="C205" t="s">
        <v>449</v>
      </c>
      <c r="D205" t="s">
        <v>62</v>
      </c>
      <c r="E205" s="33">
        <v>40546</v>
      </c>
    </row>
    <row r="206" spans="1:5">
      <c r="A206" t="s">
        <v>462</v>
      </c>
      <c r="B206" t="s">
        <v>463</v>
      </c>
      <c r="C206" t="s">
        <v>449</v>
      </c>
      <c r="D206" t="s">
        <v>62</v>
      </c>
      <c r="E206" s="33">
        <v>45359</v>
      </c>
    </row>
    <row r="207" spans="1:5">
      <c r="A207" t="s">
        <v>464</v>
      </c>
      <c r="B207" t="s">
        <v>465</v>
      </c>
      <c r="C207" t="s">
        <v>449</v>
      </c>
      <c r="D207" t="s">
        <v>62</v>
      </c>
      <c r="E207" s="33">
        <v>45359</v>
      </c>
    </row>
    <row r="208" spans="1:5">
      <c r="A208" t="s">
        <v>466</v>
      </c>
      <c r="B208" t="s">
        <v>467</v>
      </c>
      <c r="C208" t="s">
        <v>449</v>
      </c>
      <c r="D208" t="s">
        <v>62</v>
      </c>
      <c r="E208" s="33">
        <v>43390</v>
      </c>
    </row>
    <row r="209" spans="1:5">
      <c r="A209" t="s">
        <v>468</v>
      </c>
      <c r="B209" t="s">
        <v>469</v>
      </c>
      <c r="C209" t="s">
        <v>470</v>
      </c>
      <c r="D209" t="s">
        <v>62</v>
      </c>
      <c r="E209" s="33">
        <v>35774</v>
      </c>
    </row>
    <row r="210" spans="1:5">
      <c r="A210" t="s">
        <v>471</v>
      </c>
      <c r="B210" t="s">
        <v>472</v>
      </c>
      <c r="C210" t="s">
        <v>470</v>
      </c>
      <c r="D210" t="s">
        <v>62</v>
      </c>
      <c r="E210" s="33">
        <v>41411</v>
      </c>
    </row>
    <row r="211" spans="1:5">
      <c r="A211" t="s">
        <v>473</v>
      </c>
      <c r="B211" t="s">
        <v>474</v>
      </c>
      <c r="C211" t="s">
        <v>470</v>
      </c>
      <c r="D211" t="s">
        <v>62</v>
      </c>
      <c r="E211" s="33">
        <v>39904</v>
      </c>
    </row>
    <row r="212" spans="1:5">
      <c r="A212" t="s">
        <v>475</v>
      </c>
      <c r="B212" t="s">
        <v>476</v>
      </c>
      <c r="C212" t="s">
        <v>470</v>
      </c>
      <c r="D212" t="s">
        <v>62</v>
      </c>
      <c r="E212" s="33">
        <v>43600</v>
      </c>
    </row>
    <row r="213" spans="1:5">
      <c r="A213" t="s">
        <v>477</v>
      </c>
      <c r="B213" t="s">
        <v>478</v>
      </c>
      <c r="C213" t="s">
        <v>479</v>
      </c>
      <c r="D213" t="s">
        <v>42</v>
      </c>
      <c r="E213" s="33">
        <v>42872</v>
      </c>
    </row>
    <row r="214" spans="1:5">
      <c r="A214" t="s">
        <v>480</v>
      </c>
      <c r="B214" t="s">
        <v>481</v>
      </c>
      <c r="C214" t="s">
        <v>479</v>
      </c>
      <c r="D214" t="s">
        <v>42</v>
      </c>
      <c r="E214" s="33">
        <v>40105</v>
      </c>
    </row>
    <row r="215" spans="1:5">
      <c r="A215" t="s">
        <v>482</v>
      </c>
      <c r="B215" t="s">
        <v>483</v>
      </c>
      <c r="C215" t="s">
        <v>479</v>
      </c>
      <c r="D215" t="s">
        <v>42</v>
      </c>
      <c r="E215" s="33">
        <v>36251</v>
      </c>
    </row>
    <row r="216" spans="1:5">
      <c r="A216" t="s">
        <v>484</v>
      </c>
      <c r="B216" t="s">
        <v>485</v>
      </c>
      <c r="C216" t="s">
        <v>479</v>
      </c>
      <c r="D216" t="s">
        <v>42</v>
      </c>
      <c r="E216" s="33">
        <v>40155</v>
      </c>
    </row>
    <row r="217" spans="1:5">
      <c r="A217" t="s">
        <v>486</v>
      </c>
      <c r="B217" t="s">
        <v>487</v>
      </c>
      <c r="C217" t="s">
        <v>488</v>
      </c>
      <c r="D217" t="s">
        <v>62</v>
      </c>
      <c r="E217" s="33">
        <v>45728</v>
      </c>
    </row>
    <row r="218" spans="1:5">
      <c r="A218" t="s">
        <v>489</v>
      </c>
      <c r="B218" t="s">
        <v>490</v>
      </c>
      <c r="C218" t="s">
        <v>488</v>
      </c>
      <c r="D218" t="s">
        <v>62</v>
      </c>
      <c r="E218" s="33">
        <v>45399</v>
      </c>
    </row>
    <row r="219" spans="1:5">
      <c r="A219" t="s">
        <v>491</v>
      </c>
      <c r="B219" t="s">
        <v>492</v>
      </c>
      <c r="C219" t="s">
        <v>488</v>
      </c>
      <c r="D219" t="s">
        <v>62</v>
      </c>
      <c r="E219" s="33">
        <v>45399</v>
      </c>
    </row>
    <row r="220" spans="1:5">
      <c r="A220" t="s">
        <v>493</v>
      </c>
      <c r="B220" t="s">
        <v>494</v>
      </c>
      <c r="C220" t="s">
        <v>488</v>
      </c>
      <c r="D220" t="s">
        <v>62</v>
      </c>
      <c r="E220" s="33">
        <v>44146</v>
      </c>
    </row>
    <row r="221" spans="1:5">
      <c r="A221" t="s">
        <v>495</v>
      </c>
      <c r="B221" t="s">
        <v>496</v>
      </c>
      <c r="C221" t="s">
        <v>488</v>
      </c>
      <c r="D221" t="s">
        <v>62</v>
      </c>
      <c r="E221" s="33">
        <v>42262</v>
      </c>
    </row>
    <row r="222" spans="1:5">
      <c r="A222" t="s">
        <v>497</v>
      </c>
      <c r="B222" t="s">
        <v>498</v>
      </c>
      <c r="C222" t="s">
        <v>488</v>
      </c>
      <c r="D222" t="s">
        <v>62</v>
      </c>
      <c r="E222" s="33">
        <v>45399</v>
      </c>
    </row>
    <row r="223" spans="1:5">
      <c r="A223" t="s">
        <v>499</v>
      </c>
      <c r="B223" t="s">
        <v>500</v>
      </c>
      <c r="C223" t="s">
        <v>488</v>
      </c>
      <c r="D223" t="s">
        <v>62</v>
      </c>
      <c r="E223" s="33">
        <v>44851</v>
      </c>
    </row>
    <row r="224" spans="1:5">
      <c r="A224" t="s">
        <v>501</v>
      </c>
      <c r="B224" t="s">
        <v>502</v>
      </c>
      <c r="C224" t="s">
        <v>488</v>
      </c>
      <c r="D224" t="s">
        <v>62</v>
      </c>
      <c r="E224" s="33">
        <v>45425</v>
      </c>
    </row>
    <row r="225" spans="1:5">
      <c r="A225" t="s">
        <v>503</v>
      </c>
      <c r="B225" t="s">
        <v>504</v>
      </c>
      <c r="C225" t="s">
        <v>488</v>
      </c>
      <c r="D225" t="s">
        <v>62</v>
      </c>
      <c r="E225" s="33">
        <v>42562</v>
      </c>
    </row>
    <row r="226" spans="1:5">
      <c r="A226" t="s">
        <v>505</v>
      </c>
      <c r="B226" t="s">
        <v>506</v>
      </c>
      <c r="C226" t="s">
        <v>488</v>
      </c>
      <c r="D226" t="s">
        <v>62</v>
      </c>
      <c r="E226" s="33">
        <v>43571</v>
      </c>
    </row>
    <row r="227" spans="1:5">
      <c r="A227" t="s">
        <v>507</v>
      </c>
      <c r="B227" t="s">
        <v>508</v>
      </c>
      <c r="C227" t="s">
        <v>488</v>
      </c>
      <c r="D227" t="s">
        <v>62</v>
      </c>
      <c r="E227" s="33">
        <v>45728</v>
      </c>
    </row>
    <row r="228" spans="1:5">
      <c r="A228" t="s">
        <v>509</v>
      </c>
      <c r="B228" t="s">
        <v>510</v>
      </c>
      <c r="C228" t="s">
        <v>488</v>
      </c>
      <c r="D228" t="s">
        <v>62</v>
      </c>
      <c r="E228" s="33">
        <v>45881</v>
      </c>
    </row>
    <row r="229" spans="1:5">
      <c r="A229" t="s">
        <v>511</v>
      </c>
      <c r="B229" t="s">
        <v>512</v>
      </c>
      <c r="C229" t="s">
        <v>488</v>
      </c>
      <c r="D229" t="s">
        <v>62</v>
      </c>
      <c r="E229" s="33">
        <v>45903</v>
      </c>
    </row>
    <row r="230" spans="1:5">
      <c r="A230" t="s">
        <v>513</v>
      </c>
      <c r="B230" t="s">
        <v>514</v>
      </c>
      <c r="C230" t="s">
        <v>488</v>
      </c>
      <c r="D230" t="s">
        <v>62</v>
      </c>
      <c r="E230" s="33">
        <v>45728</v>
      </c>
    </row>
    <row r="231" spans="1:5">
      <c r="A231" t="s">
        <v>515</v>
      </c>
      <c r="B231" t="s">
        <v>516</v>
      </c>
      <c r="C231" t="s">
        <v>488</v>
      </c>
      <c r="D231" t="s">
        <v>62</v>
      </c>
      <c r="E231" s="33">
        <v>45728</v>
      </c>
    </row>
    <row r="232" spans="1:5">
      <c r="A232" t="s">
        <v>517</v>
      </c>
      <c r="B232" t="s">
        <v>518</v>
      </c>
      <c r="C232" t="s">
        <v>519</v>
      </c>
      <c r="D232" t="s">
        <v>62</v>
      </c>
      <c r="E232" s="33">
        <v>38180</v>
      </c>
    </row>
    <row r="233" spans="1:5">
      <c r="A233" t="s">
        <v>520</v>
      </c>
      <c r="B233" t="s">
        <v>521</v>
      </c>
      <c r="C233" t="s">
        <v>519</v>
      </c>
      <c r="D233" t="s">
        <v>62</v>
      </c>
      <c r="E233" s="33">
        <v>42102</v>
      </c>
    </row>
    <row r="234" spans="1:5">
      <c r="A234" t="s">
        <v>522</v>
      </c>
      <c r="B234" t="s">
        <v>523</v>
      </c>
      <c r="C234" t="s">
        <v>519</v>
      </c>
      <c r="D234" t="s">
        <v>62</v>
      </c>
      <c r="E234" s="33">
        <v>45399</v>
      </c>
    </row>
    <row r="235" spans="1:5">
      <c r="A235" t="s">
        <v>524</v>
      </c>
      <c r="B235" t="s">
        <v>525</v>
      </c>
      <c r="C235" t="s">
        <v>519</v>
      </c>
      <c r="D235" t="s">
        <v>62</v>
      </c>
      <c r="E235" s="33">
        <v>38985</v>
      </c>
    </row>
    <row r="236" spans="1:5">
      <c r="A236" t="s">
        <v>526</v>
      </c>
      <c r="B236" t="s">
        <v>527</v>
      </c>
      <c r="C236" t="s">
        <v>519</v>
      </c>
      <c r="D236" t="s">
        <v>62</v>
      </c>
      <c r="E236" s="33">
        <v>42019</v>
      </c>
    </row>
    <row r="237" spans="1:5">
      <c r="A237" t="s">
        <v>528</v>
      </c>
      <c r="B237" t="s">
        <v>529</v>
      </c>
      <c r="C237" t="s">
        <v>519</v>
      </c>
      <c r="D237" t="s">
        <v>62</v>
      </c>
      <c r="E237" s="33">
        <v>38265</v>
      </c>
    </row>
    <row r="238" spans="1:5">
      <c r="A238" t="s">
        <v>530</v>
      </c>
      <c r="B238" t="s">
        <v>531</v>
      </c>
      <c r="C238" t="s">
        <v>519</v>
      </c>
      <c r="D238" t="s">
        <v>62</v>
      </c>
      <c r="E238" s="33">
        <v>38180</v>
      </c>
    </row>
    <row r="239" spans="1:5">
      <c r="A239" t="s">
        <v>532</v>
      </c>
      <c r="B239" t="s">
        <v>533</v>
      </c>
      <c r="C239" t="s">
        <v>519</v>
      </c>
      <c r="D239" t="s">
        <v>62</v>
      </c>
      <c r="E239" s="33">
        <v>38596</v>
      </c>
    </row>
    <row r="240" spans="1:5">
      <c r="A240" t="s">
        <v>534</v>
      </c>
      <c r="B240" t="s">
        <v>535</v>
      </c>
      <c r="C240" t="s">
        <v>519</v>
      </c>
      <c r="D240" t="s">
        <v>62</v>
      </c>
      <c r="E240" s="33">
        <v>38657</v>
      </c>
    </row>
    <row r="241" spans="1:5">
      <c r="A241" t="s">
        <v>536</v>
      </c>
      <c r="B241" t="s">
        <v>537</v>
      </c>
      <c r="C241" t="s">
        <v>519</v>
      </c>
      <c r="D241" t="s">
        <v>62</v>
      </c>
      <c r="E241" s="33">
        <v>39881</v>
      </c>
    </row>
    <row r="242" spans="1:5">
      <c r="A242" t="s">
        <v>538</v>
      </c>
      <c r="B242" t="s">
        <v>539</v>
      </c>
      <c r="C242" t="s">
        <v>519</v>
      </c>
      <c r="D242" t="s">
        <v>62</v>
      </c>
      <c r="E242" s="33">
        <v>39105</v>
      </c>
    </row>
    <row r="243" spans="1:5">
      <c r="A243" t="s">
        <v>540</v>
      </c>
      <c r="B243" t="s">
        <v>541</v>
      </c>
      <c r="C243" t="s">
        <v>519</v>
      </c>
      <c r="D243" t="s">
        <v>62</v>
      </c>
      <c r="E243" s="33">
        <v>39142</v>
      </c>
    </row>
    <row r="244" spans="1:5">
      <c r="A244" t="s">
        <v>542</v>
      </c>
      <c r="B244" t="s">
        <v>543</v>
      </c>
      <c r="C244" t="s">
        <v>519</v>
      </c>
      <c r="D244" t="s">
        <v>62</v>
      </c>
      <c r="E244" s="33">
        <v>35156</v>
      </c>
    </row>
    <row r="245" spans="1:5">
      <c r="A245" t="s">
        <v>544</v>
      </c>
      <c r="B245" t="s">
        <v>545</v>
      </c>
      <c r="C245" t="s">
        <v>519</v>
      </c>
      <c r="D245" t="s">
        <v>62</v>
      </c>
      <c r="E245" s="33">
        <v>44823</v>
      </c>
    </row>
    <row r="246" spans="1:5">
      <c r="A246" t="s">
        <v>546</v>
      </c>
      <c r="B246" t="s">
        <v>547</v>
      </c>
      <c r="C246" t="s">
        <v>519</v>
      </c>
      <c r="D246" t="s">
        <v>62</v>
      </c>
      <c r="E246" s="33">
        <v>44903</v>
      </c>
    </row>
    <row r="247" spans="1:5">
      <c r="A247" t="s">
        <v>548</v>
      </c>
      <c r="B247" t="s">
        <v>549</v>
      </c>
      <c r="C247" t="s">
        <v>519</v>
      </c>
      <c r="D247" t="s">
        <v>62</v>
      </c>
      <c r="E247" s="33">
        <v>45903</v>
      </c>
    </row>
    <row r="248" spans="1:5">
      <c r="A248" t="s">
        <v>550</v>
      </c>
      <c r="B248" t="s">
        <v>551</v>
      </c>
      <c r="C248" t="s">
        <v>519</v>
      </c>
      <c r="D248" t="s">
        <v>62</v>
      </c>
      <c r="E248" s="33">
        <v>42727</v>
      </c>
    </row>
    <row r="249" spans="1:5">
      <c r="A249" t="s">
        <v>552</v>
      </c>
      <c r="B249" t="s">
        <v>553</v>
      </c>
      <c r="C249" t="s">
        <v>519</v>
      </c>
      <c r="D249" t="s">
        <v>62</v>
      </c>
      <c r="E249" s="33">
        <v>45728</v>
      </c>
    </row>
    <row r="250" spans="1:5">
      <c r="A250" t="s">
        <v>554</v>
      </c>
      <c r="B250" t="s">
        <v>555</v>
      </c>
      <c r="C250" t="s">
        <v>519</v>
      </c>
      <c r="D250" t="s">
        <v>62</v>
      </c>
      <c r="E250" s="33">
        <v>40232</v>
      </c>
    </row>
    <row r="251" spans="1:5">
      <c r="A251" t="s">
        <v>556</v>
      </c>
      <c r="B251" t="s">
        <v>557</v>
      </c>
      <c r="C251" t="s">
        <v>519</v>
      </c>
      <c r="D251" t="s">
        <v>62</v>
      </c>
      <c r="E251" s="33">
        <v>41106</v>
      </c>
    </row>
    <row r="252" spans="1:5">
      <c r="A252" t="s">
        <v>558</v>
      </c>
      <c r="B252" t="s">
        <v>559</v>
      </c>
      <c r="C252" t="s">
        <v>519</v>
      </c>
      <c r="D252" t="s">
        <v>62</v>
      </c>
      <c r="E252" s="33">
        <v>42262</v>
      </c>
    </row>
    <row r="253" spans="1:5">
      <c r="A253" t="s">
        <v>560</v>
      </c>
      <c r="B253" t="s">
        <v>561</v>
      </c>
      <c r="C253" t="s">
        <v>519</v>
      </c>
      <c r="D253" t="s">
        <v>62</v>
      </c>
      <c r="E253" s="33">
        <v>41082</v>
      </c>
    </row>
    <row r="254" spans="1:5">
      <c r="A254" t="s">
        <v>562</v>
      </c>
      <c r="B254" t="s">
        <v>563</v>
      </c>
      <c r="C254" t="s">
        <v>519</v>
      </c>
      <c r="D254" t="s">
        <v>62</v>
      </c>
      <c r="E254" s="33">
        <v>41852</v>
      </c>
    </row>
    <row r="255" spans="1:5">
      <c r="A255" t="s">
        <v>564</v>
      </c>
      <c r="B255" t="s">
        <v>565</v>
      </c>
      <c r="C255" t="s">
        <v>519</v>
      </c>
      <c r="D255" t="s">
        <v>62</v>
      </c>
      <c r="E255" s="33">
        <v>40330</v>
      </c>
    </row>
    <row r="256" spans="1:5">
      <c r="A256" t="s">
        <v>566</v>
      </c>
      <c r="B256" t="s">
        <v>567</v>
      </c>
      <c r="C256" t="s">
        <v>519</v>
      </c>
      <c r="D256" t="s">
        <v>62</v>
      </c>
      <c r="E256" s="33">
        <v>44036</v>
      </c>
    </row>
    <row r="257" spans="1:5">
      <c r="A257" t="s">
        <v>568</v>
      </c>
      <c r="B257" t="s">
        <v>569</v>
      </c>
      <c r="C257" t="s">
        <v>519</v>
      </c>
      <c r="D257" t="s">
        <v>62</v>
      </c>
      <c r="E257" s="33">
        <v>35145</v>
      </c>
    </row>
    <row r="258" spans="1:5">
      <c r="A258" t="s">
        <v>570</v>
      </c>
      <c r="B258" t="s">
        <v>571</v>
      </c>
      <c r="C258" t="s">
        <v>519</v>
      </c>
      <c r="D258" t="s">
        <v>62</v>
      </c>
      <c r="E258" s="33">
        <v>39105</v>
      </c>
    </row>
    <row r="259" spans="1:5">
      <c r="A259" t="s">
        <v>572</v>
      </c>
      <c r="B259" t="s">
        <v>573</v>
      </c>
      <c r="C259" t="s">
        <v>519</v>
      </c>
      <c r="D259" t="s">
        <v>62</v>
      </c>
      <c r="E259" s="33">
        <v>38238</v>
      </c>
    </row>
    <row r="260" spans="1:5">
      <c r="A260" t="s">
        <v>574</v>
      </c>
      <c r="B260" t="s">
        <v>575</v>
      </c>
      <c r="C260" t="s">
        <v>519</v>
      </c>
      <c r="D260" t="s">
        <v>62</v>
      </c>
      <c r="E260" s="33">
        <v>34669</v>
      </c>
    </row>
    <row r="261" spans="1:5">
      <c r="A261" t="s">
        <v>576</v>
      </c>
      <c r="B261" t="s">
        <v>577</v>
      </c>
      <c r="C261" t="s">
        <v>519</v>
      </c>
      <c r="D261" t="s">
        <v>62</v>
      </c>
      <c r="E261" s="33">
        <v>36220</v>
      </c>
    </row>
    <row r="262" spans="1:5">
      <c r="A262" t="s">
        <v>578</v>
      </c>
      <c r="B262" t="s">
        <v>579</v>
      </c>
      <c r="C262" t="s">
        <v>519</v>
      </c>
      <c r="D262" t="s">
        <v>62</v>
      </c>
      <c r="E262" s="33">
        <v>39937</v>
      </c>
    </row>
    <row r="263" spans="1:5">
      <c r="A263" t="s">
        <v>580</v>
      </c>
      <c r="B263" t="s">
        <v>581</v>
      </c>
      <c r="C263" t="s">
        <v>519</v>
      </c>
      <c r="D263" t="s">
        <v>62</v>
      </c>
      <c r="E263" s="33">
        <v>39965</v>
      </c>
    </row>
    <row r="264" spans="1:5">
      <c r="A264" t="s">
        <v>582</v>
      </c>
      <c r="B264" t="s">
        <v>583</v>
      </c>
      <c r="C264" t="s">
        <v>519</v>
      </c>
      <c r="D264" t="s">
        <v>62</v>
      </c>
      <c r="E264" s="33">
        <v>41548</v>
      </c>
    </row>
    <row r="265" spans="1:5">
      <c r="A265" t="s">
        <v>584</v>
      </c>
      <c r="B265" t="s">
        <v>585</v>
      </c>
      <c r="C265" t="s">
        <v>519</v>
      </c>
      <c r="D265" t="s">
        <v>62</v>
      </c>
      <c r="E265" s="33">
        <v>45399</v>
      </c>
    </row>
    <row r="266" spans="1:5">
      <c r="A266" t="s">
        <v>586</v>
      </c>
      <c r="B266" t="s">
        <v>587</v>
      </c>
      <c r="C266" t="s">
        <v>519</v>
      </c>
      <c r="D266" t="s">
        <v>62</v>
      </c>
      <c r="E266" s="33">
        <v>42262</v>
      </c>
    </row>
    <row r="267" spans="1:5">
      <c r="A267" t="s">
        <v>588</v>
      </c>
      <c r="B267" t="s">
        <v>589</v>
      </c>
      <c r="C267" t="s">
        <v>519</v>
      </c>
      <c r="D267" t="s">
        <v>62</v>
      </c>
      <c r="E267" s="33">
        <v>37207</v>
      </c>
    </row>
    <row r="268" spans="1:5">
      <c r="A268" t="s">
        <v>590</v>
      </c>
      <c r="B268" t="s">
        <v>591</v>
      </c>
      <c r="C268" t="s">
        <v>519</v>
      </c>
      <c r="D268" t="s">
        <v>62</v>
      </c>
      <c r="E268" s="33">
        <v>45126</v>
      </c>
    </row>
    <row r="269" spans="1:5">
      <c r="A269" t="s">
        <v>592</v>
      </c>
      <c r="B269" t="s">
        <v>593</v>
      </c>
      <c r="C269" t="s">
        <v>519</v>
      </c>
      <c r="D269" t="s">
        <v>62</v>
      </c>
      <c r="E269" s="33">
        <v>40798</v>
      </c>
    </row>
    <row r="270" spans="1:5">
      <c r="A270" t="s">
        <v>594</v>
      </c>
      <c r="B270" t="s">
        <v>595</v>
      </c>
      <c r="C270" t="s">
        <v>519</v>
      </c>
      <c r="D270" t="s">
        <v>62</v>
      </c>
      <c r="E270" s="33">
        <v>45391</v>
      </c>
    </row>
    <row r="271" spans="1:5">
      <c r="A271" t="s">
        <v>596</v>
      </c>
      <c r="B271" t="s">
        <v>597</v>
      </c>
      <c r="C271" t="s">
        <v>519</v>
      </c>
      <c r="D271" t="s">
        <v>62</v>
      </c>
      <c r="E271" s="33">
        <v>38239</v>
      </c>
    </row>
    <row r="272" spans="1:5">
      <c r="A272" t="s">
        <v>598</v>
      </c>
      <c r="B272" t="s">
        <v>599</v>
      </c>
      <c r="C272" t="s">
        <v>519</v>
      </c>
      <c r="D272" t="s">
        <v>62</v>
      </c>
      <c r="E272" s="33">
        <v>38180</v>
      </c>
    </row>
    <row r="273" spans="1:5">
      <c r="A273" t="s">
        <v>600</v>
      </c>
      <c r="B273" t="s">
        <v>601</v>
      </c>
      <c r="C273" t="s">
        <v>519</v>
      </c>
      <c r="D273" t="s">
        <v>62</v>
      </c>
      <c r="E273" s="33">
        <v>45881</v>
      </c>
    </row>
    <row r="274" spans="1:5">
      <c r="A274" t="s">
        <v>602</v>
      </c>
      <c r="B274" t="s">
        <v>603</v>
      </c>
      <c r="C274" t="s">
        <v>519</v>
      </c>
      <c r="D274" t="s">
        <v>62</v>
      </c>
      <c r="E274" s="33">
        <v>37592</v>
      </c>
    </row>
    <row r="275" spans="1:5">
      <c r="A275" t="s">
        <v>604</v>
      </c>
      <c r="B275" t="s">
        <v>605</v>
      </c>
      <c r="C275" t="s">
        <v>519</v>
      </c>
      <c r="D275" t="s">
        <v>62</v>
      </c>
      <c r="E275" s="33">
        <v>36220</v>
      </c>
    </row>
    <row r="276" spans="1:5">
      <c r="A276" t="s">
        <v>606</v>
      </c>
      <c r="B276" t="s">
        <v>607</v>
      </c>
      <c r="C276" t="s">
        <v>519</v>
      </c>
      <c r="D276" t="s">
        <v>62</v>
      </c>
      <c r="E276" s="33">
        <v>41852</v>
      </c>
    </row>
    <row r="277" spans="1:5">
      <c r="A277" t="s">
        <v>608</v>
      </c>
      <c r="B277" t="s">
        <v>609</v>
      </c>
      <c r="C277" t="s">
        <v>519</v>
      </c>
      <c r="D277" t="s">
        <v>62</v>
      </c>
      <c r="E277" s="33">
        <v>41106</v>
      </c>
    </row>
    <row r="278" spans="1:5">
      <c r="A278" t="s">
        <v>610</v>
      </c>
      <c r="B278" t="s">
        <v>611</v>
      </c>
      <c r="C278" t="s">
        <v>612</v>
      </c>
      <c r="D278" t="s">
        <v>62</v>
      </c>
      <c r="E278" s="33">
        <v>35024</v>
      </c>
    </row>
    <row r="279" spans="1:5">
      <c r="A279" t="s">
        <v>613</v>
      </c>
      <c r="B279" t="s">
        <v>614</v>
      </c>
      <c r="C279" t="s">
        <v>615</v>
      </c>
      <c r="D279" t="s">
        <v>62</v>
      </c>
      <c r="E279" s="33">
        <v>45399</v>
      </c>
    </row>
    <row r="280" spans="1:5">
      <c r="A280" t="s">
        <v>616</v>
      </c>
      <c r="B280" t="s">
        <v>617</v>
      </c>
      <c r="C280" t="s">
        <v>615</v>
      </c>
      <c r="D280" t="s">
        <v>62</v>
      </c>
      <c r="E280" s="33">
        <v>46001</v>
      </c>
    </row>
    <row r="281" spans="1:5">
      <c r="A281" t="s">
        <v>618</v>
      </c>
      <c r="B281" t="s">
        <v>619</v>
      </c>
      <c r="C281" t="s">
        <v>615</v>
      </c>
      <c r="D281" t="s">
        <v>62</v>
      </c>
      <c r="E281" s="33">
        <v>38985</v>
      </c>
    </row>
    <row r="282" spans="1:5">
      <c r="A282" t="s">
        <v>620</v>
      </c>
      <c r="B282" t="s">
        <v>621</v>
      </c>
      <c r="C282" t="s">
        <v>615</v>
      </c>
      <c r="D282" t="s">
        <v>62</v>
      </c>
      <c r="E282" s="33">
        <v>45399</v>
      </c>
    </row>
    <row r="283" spans="1:5">
      <c r="A283" t="s">
        <v>622</v>
      </c>
      <c r="B283" t="s">
        <v>623</v>
      </c>
      <c r="C283" t="s">
        <v>615</v>
      </c>
      <c r="D283" t="s">
        <v>62</v>
      </c>
      <c r="E283" s="33">
        <v>46001</v>
      </c>
    </row>
    <row r="284" spans="1:5">
      <c r="A284" t="s">
        <v>624</v>
      </c>
      <c r="B284" t="s">
        <v>625</v>
      </c>
      <c r="C284" t="s">
        <v>615</v>
      </c>
      <c r="D284" t="s">
        <v>62</v>
      </c>
      <c r="E284" s="33">
        <v>45728</v>
      </c>
    </row>
    <row r="285" spans="1:5">
      <c r="A285" t="s">
        <v>626</v>
      </c>
      <c r="B285" t="s">
        <v>627</v>
      </c>
      <c r="C285" t="s">
        <v>615</v>
      </c>
      <c r="D285" t="s">
        <v>62</v>
      </c>
      <c r="E285" s="33">
        <v>46001</v>
      </c>
    </row>
    <row r="286" spans="1:5">
      <c r="A286" t="s">
        <v>628</v>
      </c>
      <c r="B286" t="s">
        <v>629</v>
      </c>
      <c r="C286" t="s">
        <v>615</v>
      </c>
      <c r="D286" t="s">
        <v>62</v>
      </c>
      <c r="E286" s="33">
        <v>45881</v>
      </c>
    </row>
    <row r="287" spans="1:5">
      <c r="A287" t="s">
        <v>630</v>
      </c>
      <c r="B287" t="s">
        <v>631</v>
      </c>
      <c r="C287" t="s">
        <v>615</v>
      </c>
      <c r="D287" t="s">
        <v>62</v>
      </c>
      <c r="E287" s="33">
        <v>45881</v>
      </c>
    </row>
    <row r="288" spans="1:5">
      <c r="A288" t="s">
        <v>632</v>
      </c>
      <c r="B288" t="s">
        <v>633</v>
      </c>
      <c r="C288" t="s">
        <v>615</v>
      </c>
      <c r="D288" t="s">
        <v>62</v>
      </c>
      <c r="E288" s="33">
        <v>45692</v>
      </c>
    </row>
    <row r="289" spans="1:5">
      <c r="A289" t="s">
        <v>634</v>
      </c>
      <c r="B289" t="s">
        <v>635</v>
      </c>
      <c r="C289" t="s">
        <v>615</v>
      </c>
      <c r="D289" t="s">
        <v>62</v>
      </c>
      <c r="E289" s="33">
        <v>41548</v>
      </c>
    </row>
    <row r="290" spans="1:5">
      <c r="A290" t="s">
        <v>636</v>
      </c>
      <c r="B290" t="s">
        <v>637</v>
      </c>
      <c r="C290" t="s">
        <v>615</v>
      </c>
      <c r="D290" t="s">
        <v>62</v>
      </c>
      <c r="E290" s="33">
        <v>45692</v>
      </c>
    </row>
    <row r="291" spans="1:5">
      <c r="A291" t="s">
        <v>638</v>
      </c>
      <c r="B291" t="s">
        <v>639</v>
      </c>
      <c r="C291" t="s">
        <v>615</v>
      </c>
      <c r="D291" t="s">
        <v>62</v>
      </c>
      <c r="E291" s="33">
        <v>45881</v>
      </c>
    </row>
    <row r="292" spans="1:5">
      <c r="A292" t="s">
        <v>640</v>
      </c>
      <c r="B292" t="s">
        <v>641</v>
      </c>
      <c r="C292" t="s">
        <v>615</v>
      </c>
      <c r="D292" t="s">
        <v>62</v>
      </c>
      <c r="E292" s="33">
        <v>44691</v>
      </c>
    </row>
    <row r="293" spans="1:5">
      <c r="A293" t="s">
        <v>642</v>
      </c>
      <c r="B293" t="s">
        <v>643</v>
      </c>
      <c r="C293" t="s">
        <v>615</v>
      </c>
      <c r="D293" t="s">
        <v>62</v>
      </c>
      <c r="E293" s="33">
        <v>42314</v>
      </c>
    </row>
    <row r="294" spans="1:5">
      <c r="A294" t="s">
        <v>644</v>
      </c>
      <c r="B294" t="s">
        <v>645</v>
      </c>
      <c r="C294" t="s">
        <v>615</v>
      </c>
      <c r="D294" t="s">
        <v>62</v>
      </c>
      <c r="E294" s="33">
        <v>45692</v>
      </c>
    </row>
    <row r="295" spans="1:5">
      <c r="A295" t="s">
        <v>646</v>
      </c>
      <c r="B295" t="s">
        <v>647</v>
      </c>
      <c r="C295" t="s">
        <v>615</v>
      </c>
      <c r="D295" t="s">
        <v>62</v>
      </c>
      <c r="E295" s="33">
        <v>46001</v>
      </c>
    </row>
    <row r="296" spans="1:5">
      <c r="A296" t="s">
        <v>648</v>
      </c>
      <c r="B296" t="s">
        <v>649</v>
      </c>
      <c r="C296" t="s">
        <v>650</v>
      </c>
      <c r="D296" t="s">
        <v>62</v>
      </c>
      <c r="E296" s="33">
        <v>35145</v>
      </c>
    </row>
    <row r="297" spans="1:5">
      <c r="A297" t="s">
        <v>651</v>
      </c>
      <c r="B297" t="s">
        <v>652</v>
      </c>
      <c r="C297" t="s">
        <v>650</v>
      </c>
      <c r="D297" t="s">
        <v>62</v>
      </c>
      <c r="E297" s="33">
        <v>45692</v>
      </c>
    </row>
    <row r="298" spans="1:5">
      <c r="A298" t="s">
        <v>653</v>
      </c>
      <c r="B298" t="s">
        <v>654</v>
      </c>
      <c r="C298" t="s">
        <v>650</v>
      </c>
      <c r="D298" t="s">
        <v>62</v>
      </c>
      <c r="E298" s="33">
        <v>37699</v>
      </c>
    </row>
    <row r="299" spans="1:5">
      <c r="A299" t="s">
        <v>655</v>
      </c>
      <c r="B299" t="s">
        <v>656</v>
      </c>
      <c r="C299" t="s">
        <v>650</v>
      </c>
      <c r="D299" t="s">
        <v>62</v>
      </c>
      <c r="E299" s="33">
        <v>42226</v>
      </c>
    </row>
    <row r="300" spans="1:5">
      <c r="A300" t="s">
        <v>657</v>
      </c>
      <c r="B300" t="s">
        <v>658</v>
      </c>
      <c r="C300" t="s">
        <v>650</v>
      </c>
      <c r="D300" t="s">
        <v>62</v>
      </c>
      <c r="E300" s="33">
        <v>37207</v>
      </c>
    </row>
    <row r="301" spans="1:5">
      <c r="A301" t="s">
        <v>659</v>
      </c>
      <c r="B301" t="s">
        <v>660</v>
      </c>
      <c r="C301" t="s">
        <v>650</v>
      </c>
      <c r="D301" t="s">
        <v>62</v>
      </c>
      <c r="E301" s="33">
        <v>37207</v>
      </c>
    </row>
    <row r="302" spans="1:5">
      <c r="A302" t="s">
        <v>661</v>
      </c>
      <c r="B302" t="s">
        <v>662</v>
      </c>
      <c r="C302" t="s">
        <v>663</v>
      </c>
      <c r="D302" t="s">
        <v>42</v>
      </c>
      <c r="E302" s="33">
        <v>45555</v>
      </c>
    </row>
    <row r="303" spans="1:5">
      <c r="A303" t="s">
        <v>664</v>
      </c>
      <c r="B303" t="s">
        <v>665</v>
      </c>
      <c r="C303" t="s">
        <v>663</v>
      </c>
      <c r="D303" t="s">
        <v>42</v>
      </c>
      <c r="E303" s="33">
        <v>45555</v>
      </c>
    </row>
    <row r="304" spans="1:5">
      <c r="A304" t="s">
        <v>666</v>
      </c>
      <c r="B304" t="s">
        <v>667</v>
      </c>
      <c r="C304" t="s">
        <v>663</v>
      </c>
      <c r="D304" t="s">
        <v>42</v>
      </c>
      <c r="E304" s="33">
        <v>40504</v>
      </c>
    </row>
    <row r="305" spans="1:5">
      <c r="A305" t="s">
        <v>668</v>
      </c>
      <c r="B305" t="s">
        <v>669</v>
      </c>
      <c r="C305" t="s">
        <v>663</v>
      </c>
      <c r="D305" t="s">
        <v>42</v>
      </c>
      <c r="E305" s="33">
        <v>42200</v>
      </c>
    </row>
    <row r="306" spans="1:5">
      <c r="A306" t="s">
        <v>670</v>
      </c>
      <c r="B306" t="s">
        <v>671</v>
      </c>
      <c r="C306" t="s">
        <v>663</v>
      </c>
      <c r="D306" t="s">
        <v>42</v>
      </c>
      <c r="E306" s="33">
        <v>41738</v>
      </c>
    </row>
    <row r="307" spans="1:5">
      <c r="A307" t="s">
        <v>672</v>
      </c>
      <c r="B307" t="s">
        <v>673</v>
      </c>
      <c r="C307" t="s">
        <v>663</v>
      </c>
      <c r="D307" t="s">
        <v>42</v>
      </c>
      <c r="E307" s="33">
        <v>40513</v>
      </c>
    </row>
    <row r="308" spans="1:5">
      <c r="A308" t="s">
        <v>674</v>
      </c>
      <c r="B308" t="s">
        <v>675</v>
      </c>
      <c r="C308" t="s">
        <v>663</v>
      </c>
      <c r="D308" t="s">
        <v>42</v>
      </c>
      <c r="E308" s="33">
        <v>35674</v>
      </c>
    </row>
    <row r="309" spans="1:5">
      <c r="A309" t="s">
        <v>676</v>
      </c>
      <c r="B309" t="s">
        <v>677</v>
      </c>
      <c r="C309" t="s">
        <v>663</v>
      </c>
      <c r="D309" t="s">
        <v>42</v>
      </c>
      <c r="E309" s="33">
        <v>44648</v>
      </c>
    </row>
    <row r="310" spans="1:5">
      <c r="A310" t="s">
        <v>678</v>
      </c>
      <c r="B310" t="s">
        <v>679</v>
      </c>
      <c r="C310" t="s">
        <v>663</v>
      </c>
      <c r="D310" t="s">
        <v>42</v>
      </c>
      <c r="E310" s="33">
        <v>44697</v>
      </c>
    </row>
    <row r="311" spans="1:5">
      <c r="A311" t="s">
        <v>680</v>
      </c>
      <c r="B311" t="s">
        <v>681</v>
      </c>
      <c r="C311" t="s">
        <v>663</v>
      </c>
      <c r="D311" t="s">
        <v>42</v>
      </c>
      <c r="E311" s="33">
        <v>45310</v>
      </c>
    </row>
    <row r="312" spans="1:5">
      <c r="A312" t="s">
        <v>682</v>
      </c>
      <c r="B312" t="s">
        <v>683</v>
      </c>
      <c r="C312" t="s">
        <v>663</v>
      </c>
      <c r="D312" t="s">
        <v>42</v>
      </c>
      <c r="E312" s="33">
        <v>41155</v>
      </c>
    </row>
    <row r="313" spans="1:5">
      <c r="A313" t="s">
        <v>684</v>
      </c>
      <c r="B313" t="s">
        <v>685</v>
      </c>
      <c r="C313" t="s">
        <v>686</v>
      </c>
      <c r="D313" t="s">
        <v>42</v>
      </c>
      <c r="E313" s="33">
        <v>36648</v>
      </c>
    </row>
    <row r="314" spans="1:5">
      <c r="A314" t="s">
        <v>687</v>
      </c>
      <c r="B314" t="s">
        <v>688</v>
      </c>
      <c r="C314" t="s">
        <v>686</v>
      </c>
      <c r="D314" t="s">
        <v>42</v>
      </c>
      <c r="E314" s="33">
        <v>40637</v>
      </c>
    </row>
    <row r="315" spans="1:5">
      <c r="A315" t="s">
        <v>689</v>
      </c>
      <c r="B315" t="s">
        <v>690</v>
      </c>
      <c r="C315" t="s">
        <v>686</v>
      </c>
      <c r="D315" t="s">
        <v>42</v>
      </c>
      <c r="E315" s="33">
        <v>41093</v>
      </c>
    </row>
    <row r="316" spans="1:5">
      <c r="A316" t="s">
        <v>691</v>
      </c>
      <c r="B316" t="s">
        <v>692</v>
      </c>
      <c r="C316" t="s">
        <v>686</v>
      </c>
      <c r="D316" t="s">
        <v>42</v>
      </c>
      <c r="E316" s="33">
        <v>36648</v>
      </c>
    </row>
    <row r="317" spans="1:5">
      <c r="A317" t="s">
        <v>693</v>
      </c>
      <c r="B317" t="s">
        <v>694</v>
      </c>
      <c r="C317" t="s">
        <v>686</v>
      </c>
      <c r="D317" t="s">
        <v>42</v>
      </c>
      <c r="E317" s="33">
        <v>42072</v>
      </c>
    </row>
    <row r="318" spans="1:5">
      <c r="A318" t="s">
        <v>695</v>
      </c>
      <c r="B318" t="s">
        <v>696</v>
      </c>
      <c r="C318" t="s">
        <v>686</v>
      </c>
      <c r="D318" t="s">
        <v>42</v>
      </c>
      <c r="E318" s="33">
        <v>45707</v>
      </c>
    </row>
    <row r="319" spans="1:5">
      <c r="A319" t="s">
        <v>697</v>
      </c>
      <c r="B319" t="s">
        <v>698</v>
      </c>
      <c r="C319" t="s">
        <v>686</v>
      </c>
      <c r="D319" t="s">
        <v>42</v>
      </c>
      <c r="E319" s="33">
        <v>44823</v>
      </c>
    </row>
    <row r="320" spans="1:5">
      <c r="A320" t="s">
        <v>699</v>
      </c>
      <c r="B320" t="s">
        <v>700</v>
      </c>
      <c r="C320" t="s">
        <v>686</v>
      </c>
      <c r="D320" t="s">
        <v>42</v>
      </c>
      <c r="E320" s="33">
        <v>45406</v>
      </c>
    </row>
    <row r="321" spans="1:5">
      <c r="A321" t="s">
        <v>701</v>
      </c>
      <c r="B321" t="s">
        <v>702</v>
      </c>
      <c r="C321" t="s">
        <v>686</v>
      </c>
      <c r="D321" t="s">
        <v>42</v>
      </c>
      <c r="E321" s="33">
        <v>45707</v>
      </c>
    </row>
    <row r="322" spans="1:5">
      <c r="A322" t="s">
        <v>703</v>
      </c>
      <c r="B322" t="s">
        <v>704</v>
      </c>
      <c r="C322" t="s">
        <v>686</v>
      </c>
      <c r="D322" t="s">
        <v>42</v>
      </c>
      <c r="E322" s="33">
        <v>41093</v>
      </c>
    </row>
    <row r="323" spans="1:5">
      <c r="A323" t="s">
        <v>705</v>
      </c>
      <c r="B323" t="s">
        <v>706</v>
      </c>
      <c r="C323" t="s">
        <v>686</v>
      </c>
      <c r="D323" t="s">
        <v>42</v>
      </c>
      <c r="E323" s="33">
        <v>37288</v>
      </c>
    </row>
    <row r="324" spans="1:5">
      <c r="A324" t="s">
        <v>707</v>
      </c>
      <c r="B324" t="s">
        <v>708</v>
      </c>
      <c r="C324" t="s">
        <v>686</v>
      </c>
      <c r="D324" t="s">
        <v>42</v>
      </c>
      <c r="E324" s="33">
        <v>45593</v>
      </c>
    </row>
    <row r="325" spans="1:5">
      <c r="A325" t="s">
        <v>709</v>
      </c>
      <c r="B325" t="s">
        <v>710</v>
      </c>
      <c r="C325" t="s">
        <v>686</v>
      </c>
      <c r="D325" t="s">
        <v>42</v>
      </c>
      <c r="E325" s="33">
        <v>42884</v>
      </c>
    </row>
    <row r="326" spans="1:5">
      <c r="A326" t="s">
        <v>711</v>
      </c>
      <c r="B326" t="s">
        <v>712</v>
      </c>
      <c r="C326" t="s">
        <v>686</v>
      </c>
      <c r="D326" t="s">
        <v>42</v>
      </c>
      <c r="E326" s="33">
        <v>44943</v>
      </c>
    </row>
    <row r="327" spans="1:5">
      <c r="A327" t="s">
        <v>713</v>
      </c>
      <c r="B327" t="s">
        <v>714</v>
      </c>
      <c r="C327" t="s">
        <v>686</v>
      </c>
      <c r="D327" t="s">
        <v>42</v>
      </c>
      <c r="E327" s="33">
        <v>44447</v>
      </c>
    </row>
    <row r="328" spans="1:5">
      <c r="A328" t="s">
        <v>715</v>
      </c>
      <c r="B328" t="s">
        <v>716</v>
      </c>
      <c r="C328" t="s">
        <v>686</v>
      </c>
      <c r="D328" t="s">
        <v>42</v>
      </c>
      <c r="E328" s="33">
        <v>45593</v>
      </c>
    </row>
    <row r="329" spans="1:5">
      <c r="A329" t="s">
        <v>717</v>
      </c>
      <c r="B329" t="s">
        <v>718</v>
      </c>
      <c r="C329" t="s">
        <v>686</v>
      </c>
      <c r="D329" t="s">
        <v>42</v>
      </c>
      <c r="E329" s="33">
        <v>44291</v>
      </c>
    </row>
    <row r="330" spans="1:5">
      <c r="A330" t="s">
        <v>719</v>
      </c>
      <c r="B330" t="s">
        <v>720</v>
      </c>
      <c r="C330" t="s">
        <v>686</v>
      </c>
      <c r="D330" t="s">
        <v>42</v>
      </c>
      <c r="E330" s="33">
        <v>44903</v>
      </c>
    </row>
    <row r="331" spans="1:5">
      <c r="A331" t="s">
        <v>721</v>
      </c>
      <c r="B331" t="s">
        <v>722</v>
      </c>
      <c r="C331" t="s">
        <v>686</v>
      </c>
      <c r="D331" t="s">
        <v>42</v>
      </c>
      <c r="E331" s="33">
        <v>42138</v>
      </c>
    </row>
    <row r="332" spans="1:5">
      <c r="A332" t="s">
        <v>723</v>
      </c>
      <c r="B332" t="s">
        <v>724</v>
      </c>
      <c r="C332" t="s">
        <v>686</v>
      </c>
      <c r="D332" t="s">
        <v>42</v>
      </c>
      <c r="E332" s="33">
        <v>40192</v>
      </c>
    </row>
    <row r="333" spans="1:5">
      <c r="A333" t="s">
        <v>725</v>
      </c>
      <c r="B333" t="s">
        <v>726</v>
      </c>
      <c r="C333" t="s">
        <v>686</v>
      </c>
      <c r="D333" t="s">
        <v>42</v>
      </c>
      <c r="E333" s="33">
        <v>42019</v>
      </c>
    </row>
    <row r="334" spans="1:5">
      <c r="A334" t="s">
        <v>727</v>
      </c>
      <c r="B334" t="s">
        <v>728</v>
      </c>
      <c r="C334" t="s">
        <v>686</v>
      </c>
      <c r="D334" t="s">
        <v>42</v>
      </c>
      <c r="E334" s="33">
        <v>45391</v>
      </c>
    </row>
    <row r="335" spans="1:5">
      <c r="A335" t="s">
        <v>729</v>
      </c>
      <c r="B335" t="s">
        <v>730</v>
      </c>
      <c r="C335" t="s">
        <v>686</v>
      </c>
      <c r="D335" t="s">
        <v>42</v>
      </c>
      <c r="E335" s="33">
        <v>41955</v>
      </c>
    </row>
    <row r="336" spans="1:5">
      <c r="A336" t="s">
        <v>731</v>
      </c>
      <c r="B336" t="s">
        <v>732</v>
      </c>
      <c r="C336" t="s">
        <v>686</v>
      </c>
      <c r="D336" t="s">
        <v>42</v>
      </c>
      <c r="E336" s="33">
        <v>41663</v>
      </c>
    </row>
    <row r="337" spans="1:5">
      <c r="A337" t="s">
        <v>733</v>
      </c>
      <c r="B337" t="s">
        <v>734</v>
      </c>
      <c r="C337" t="s">
        <v>686</v>
      </c>
      <c r="D337" t="s">
        <v>42</v>
      </c>
      <c r="E337" s="33">
        <v>45593</v>
      </c>
    </row>
    <row r="338" spans="1:5">
      <c r="A338" t="s">
        <v>735</v>
      </c>
      <c r="B338" t="s">
        <v>736</v>
      </c>
      <c r="C338" t="s">
        <v>686</v>
      </c>
      <c r="D338" t="s">
        <v>42</v>
      </c>
      <c r="E338" s="33">
        <v>38810</v>
      </c>
    </row>
    <row r="339" spans="1:5">
      <c r="A339" t="s">
        <v>737</v>
      </c>
      <c r="B339" t="s">
        <v>738</v>
      </c>
      <c r="C339" t="s">
        <v>686</v>
      </c>
      <c r="D339" t="s">
        <v>42</v>
      </c>
      <c r="E339" s="33">
        <v>40581</v>
      </c>
    </row>
    <row r="340" spans="1:5">
      <c r="A340" t="s">
        <v>739</v>
      </c>
      <c r="B340" t="s">
        <v>740</v>
      </c>
      <c r="C340" t="s">
        <v>686</v>
      </c>
      <c r="D340" t="s">
        <v>42</v>
      </c>
      <c r="E340" s="33">
        <v>41232</v>
      </c>
    </row>
    <row r="341" spans="1:5">
      <c r="A341" t="s">
        <v>741</v>
      </c>
      <c r="B341" t="s">
        <v>742</v>
      </c>
      <c r="C341" t="s">
        <v>686</v>
      </c>
      <c r="D341" t="s">
        <v>42</v>
      </c>
      <c r="E341" s="33">
        <v>44298</v>
      </c>
    </row>
    <row r="342" spans="1:5">
      <c r="A342" t="s">
        <v>743</v>
      </c>
      <c r="B342" t="s">
        <v>744</v>
      </c>
      <c r="C342" t="s">
        <v>686</v>
      </c>
      <c r="D342" t="s">
        <v>42</v>
      </c>
      <c r="E342" s="33">
        <v>43571</v>
      </c>
    </row>
    <row r="343" spans="1:5">
      <c r="A343" t="s">
        <v>745</v>
      </c>
      <c r="B343" t="s">
        <v>746</v>
      </c>
      <c r="C343" t="s">
        <v>747</v>
      </c>
      <c r="D343" t="s">
        <v>42</v>
      </c>
      <c r="E343" s="33">
        <v>42314</v>
      </c>
    </row>
    <row r="344" spans="1:5">
      <c r="A344" t="s">
        <v>748</v>
      </c>
      <c r="B344" t="s">
        <v>749</v>
      </c>
      <c r="C344" t="s">
        <v>747</v>
      </c>
      <c r="D344" t="s">
        <v>42</v>
      </c>
      <c r="E344" s="33">
        <v>41704</v>
      </c>
    </row>
    <row r="345" spans="1:5">
      <c r="A345" t="s">
        <v>750</v>
      </c>
      <c r="B345" t="s">
        <v>751</v>
      </c>
      <c r="C345" t="s">
        <v>747</v>
      </c>
      <c r="D345" t="s">
        <v>42</v>
      </c>
      <c r="E345" s="33">
        <v>44382</v>
      </c>
    </row>
    <row r="346" spans="1:5">
      <c r="A346" t="s">
        <v>752</v>
      </c>
      <c r="B346" t="s">
        <v>753</v>
      </c>
      <c r="C346" t="s">
        <v>747</v>
      </c>
      <c r="D346" t="s">
        <v>42</v>
      </c>
      <c r="E346" s="33">
        <v>41066</v>
      </c>
    </row>
    <row r="347" spans="1:5">
      <c r="A347" t="s">
        <v>754</v>
      </c>
      <c r="B347" t="s">
        <v>755</v>
      </c>
      <c r="C347" t="s">
        <v>747</v>
      </c>
      <c r="D347" t="s">
        <v>42</v>
      </c>
      <c r="E347" s="33">
        <v>45345</v>
      </c>
    </row>
    <row r="348" spans="1:5">
      <c r="A348" t="s">
        <v>756</v>
      </c>
      <c r="B348" t="s">
        <v>757</v>
      </c>
      <c r="C348" t="s">
        <v>747</v>
      </c>
      <c r="D348" t="s">
        <v>42</v>
      </c>
      <c r="E348" s="33">
        <v>42234</v>
      </c>
    </row>
    <row r="349" spans="1:5">
      <c r="A349" t="s">
        <v>758</v>
      </c>
      <c r="B349" t="s">
        <v>759</v>
      </c>
      <c r="C349" t="s">
        <v>747</v>
      </c>
      <c r="D349" t="s">
        <v>42</v>
      </c>
      <c r="E349" s="33">
        <v>44701</v>
      </c>
    </row>
    <row r="350" spans="1:5">
      <c r="A350" t="s">
        <v>760</v>
      </c>
      <c r="B350" t="s">
        <v>761</v>
      </c>
      <c r="C350" t="s">
        <v>747</v>
      </c>
      <c r="D350" t="s">
        <v>42</v>
      </c>
      <c r="E350" s="33">
        <v>44720</v>
      </c>
    </row>
    <row r="351" spans="1:5">
      <c r="A351" t="s">
        <v>762</v>
      </c>
      <c r="B351" t="s">
        <v>763</v>
      </c>
      <c r="C351" t="s">
        <v>747</v>
      </c>
      <c r="D351" t="s">
        <v>42</v>
      </c>
      <c r="E351" s="33">
        <v>44237</v>
      </c>
    </row>
    <row r="352" spans="1:5">
      <c r="A352" t="s">
        <v>764</v>
      </c>
      <c r="B352" t="s">
        <v>765</v>
      </c>
      <c r="C352" t="s">
        <v>747</v>
      </c>
      <c r="D352" t="s">
        <v>42</v>
      </c>
      <c r="E352" s="33">
        <v>42682</v>
      </c>
    </row>
    <row r="353" spans="1:5">
      <c r="A353" t="s">
        <v>766</v>
      </c>
      <c r="B353" t="s">
        <v>767</v>
      </c>
      <c r="C353" t="s">
        <v>747</v>
      </c>
      <c r="D353" t="s">
        <v>42</v>
      </c>
      <c r="E353" s="33">
        <v>42779</v>
      </c>
    </row>
    <row r="354" spans="1:5">
      <c r="A354" t="s">
        <v>768</v>
      </c>
      <c r="B354" t="s">
        <v>769</v>
      </c>
      <c r="C354" t="s">
        <v>770</v>
      </c>
      <c r="D354" t="s">
        <v>62</v>
      </c>
      <c r="E354" s="33">
        <v>40231</v>
      </c>
    </row>
    <row r="355" spans="1:5">
      <c r="A355" t="s">
        <v>771</v>
      </c>
      <c r="B355" t="s">
        <v>772</v>
      </c>
      <c r="C355" t="s">
        <v>770</v>
      </c>
      <c r="D355" t="s">
        <v>62</v>
      </c>
      <c r="E355" s="33">
        <v>37712</v>
      </c>
    </row>
    <row r="356" spans="1:5">
      <c r="A356" t="s">
        <v>773</v>
      </c>
      <c r="B356" t="s">
        <v>774</v>
      </c>
      <c r="C356" t="s">
        <v>770</v>
      </c>
      <c r="D356" t="s">
        <v>62</v>
      </c>
      <c r="E356" s="33">
        <v>44132</v>
      </c>
    </row>
    <row r="357" spans="1:5">
      <c r="A357" t="s">
        <v>775</v>
      </c>
      <c r="B357" t="s">
        <v>776</v>
      </c>
      <c r="C357" t="s">
        <v>770</v>
      </c>
      <c r="D357" t="s">
        <v>62</v>
      </c>
      <c r="E357" s="33">
        <v>39680</v>
      </c>
    </row>
    <row r="358" spans="1:5">
      <c r="A358" t="s">
        <v>777</v>
      </c>
      <c r="B358" t="s">
        <v>778</v>
      </c>
      <c r="C358" t="s">
        <v>770</v>
      </c>
      <c r="D358" t="s">
        <v>62</v>
      </c>
      <c r="E358" s="33">
        <v>44089</v>
      </c>
    </row>
    <row r="359" spans="1:5">
      <c r="A359" t="s">
        <v>779</v>
      </c>
      <c r="B359" t="s">
        <v>780</v>
      </c>
      <c r="C359" t="s">
        <v>770</v>
      </c>
      <c r="D359" t="s">
        <v>62</v>
      </c>
      <c r="E359" s="33">
        <v>40763</v>
      </c>
    </row>
    <row r="360" spans="1:5">
      <c r="A360" t="s">
        <v>781</v>
      </c>
      <c r="B360" t="s">
        <v>782</v>
      </c>
      <c r="C360" t="s">
        <v>96</v>
      </c>
      <c r="D360" t="s">
        <v>42</v>
      </c>
      <c r="E360" s="33">
        <v>42562</v>
      </c>
    </row>
    <row r="361" spans="1:5">
      <c r="A361" t="s">
        <v>783</v>
      </c>
      <c r="B361" t="s">
        <v>784</v>
      </c>
      <c r="C361" t="s">
        <v>96</v>
      </c>
      <c r="D361" t="s">
        <v>42</v>
      </c>
      <c r="E361" s="33">
        <v>44132</v>
      </c>
    </row>
    <row r="362" spans="1:5">
      <c r="A362" t="s">
        <v>785</v>
      </c>
      <c r="B362" t="s">
        <v>786</v>
      </c>
      <c r="C362" t="s">
        <v>770</v>
      </c>
      <c r="D362" t="s">
        <v>62</v>
      </c>
      <c r="E362" s="33">
        <v>42776</v>
      </c>
    </row>
    <row r="363" spans="1:5">
      <c r="A363" t="s">
        <v>787</v>
      </c>
      <c r="B363" t="s">
        <v>788</v>
      </c>
      <c r="C363" t="s">
        <v>770</v>
      </c>
      <c r="D363" t="s">
        <v>62</v>
      </c>
      <c r="E363" s="33">
        <v>44691</v>
      </c>
    </row>
    <row r="364" spans="1:5">
      <c r="A364" t="s">
        <v>789</v>
      </c>
      <c r="B364" t="s">
        <v>790</v>
      </c>
      <c r="C364" t="s">
        <v>770</v>
      </c>
      <c r="D364" t="s">
        <v>62</v>
      </c>
      <c r="E364" s="33">
        <v>38583</v>
      </c>
    </row>
    <row r="365" spans="1:5">
      <c r="A365" t="s">
        <v>791</v>
      </c>
      <c r="B365" t="s">
        <v>792</v>
      </c>
      <c r="C365" t="s">
        <v>770</v>
      </c>
      <c r="D365" t="s">
        <v>62</v>
      </c>
      <c r="E365" s="33">
        <v>37018</v>
      </c>
    </row>
    <row r="366" spans="1:5">
      <c r="A366" t="s">
        <v>793</v>
      </c>
      <c r="B366" t="s">
        <v>794</v>
      </c>
      <c r="C366" t="s">
        <v>795</v>
      </c>
      <c r="D366" t="s">
        <v>42</v>
      </c>
      <c r="E366" s="33">
        <v>43566</v>
      </c>
    </row>
    <row r="367" spans="1:5">
      <c r="A367" t="s">
        <v>796</v>
      </c>
      <c r="B367" t="s">
        <v>797</v>
      </c>
      <c r="C367" t="s">
        <v>795</v>
      </c>
      <c r="D367" t="s">
        <v>42</v>
      </c>
      <c r="E367" s="33">
        <v>44956</v>
      </c>
    </row>
    <row r="368" spans="1:5">
      <c r="A368" t="s">
        <v>798</v>
      </c>
      <c r="B368" t="s">
        <v>799</v>
      </c>
      <c r="C368" t="s">
        <v>795</v>
      </c>
      <c r="D368" t="s">
        <v>42</v>
      </c>
      <c r="E368" s="33">
        <v>43552</v>
      </c>
    </row>
    <row r="369" spans="1:5">
      <c r="A369" t="s">
        <v>800</v>
      </c>
      <c r="B369" t="s">
        <v>801</v>
      </c>
      <c r="C369" t="s">
        <v>795</v>
      </c>
      <c r="D369" t="s">
        <v>42</v>
      </c>
      <c r="E369" s="33">
        <v>45964</v>
      </c>
    </row>
    <row r="370" spans="1:5">
      <c r="A370" t="s">
        <v>802</v>
      </c>
      <c r="B370" t="s">
        <v>803</v>
      </c>
      <c r="C370" t="s">
        <v>795</v>
      </c>
      <c r="D370" t="s">
        <v>42</v>
      </c>
      <c r="E370" s="33">
        <v>45489</v>
      </c>
    </row>
    <row r="371" spans="1:5">
      <c r="A371" t="s">
        <v>804</v>
      </c>
      <c r="B371" t="s">
        <v>805</v>
      </c>
      <c r="C371" t="s">
        <v>795</v>
      </c>
      <c r="D371" t="s">
        <v>42</v>
      </c>
      <c r="E371" s="33">
        <v>45489</v>
      </c>
    </row>
    <row r="372" spans="1:5">
      <c r="A372" t="s">
        <v>806</v>
      </c>
      <c r="B372" t="s">
        <v>807</v>
      </c>
      <c r="C372" t="s">
        <v>795</v>
      </c>
      <c r="D372" t="s">
        <v>42</v>
      </c>
      <c r="E372" s="33">
        <v>44291</v>
      </c>
    </row>
    <row r="373" spans="1:5">
      <c r="A373" t="s">
        <v>808</v>
      </c>
      <c r="B373" t="s">
        <v>809</v>
      </c>
      <c r="C373" t="s">
        <v>795</v>
      </c>
      <c r="D373" t="s">
        <v>42</v>
      </c>
      <c r="E373" s="33">
        <v>45441</v>
      </c>
    </row>
    <row r="374" spans="1:5">
      <c r="A374" t="s">
        <v>810</v>
      </c>
      <c r="B374" t="s">
        <v>811</v>
      </c>
      <c r="C374" t="s">
        <v>795</v>
      </c>
      <c r="D374" t="s">
        <v>42</v>
      </c>
      <c r="E374" s="33">
        <v>39839</v>
      </c>
    </row>
    <row r="375" spans="1:5">
      <c r="A375" t="s">
        <v>812</v>
      </c>
      <c r="B375" t="s">
        <v>813</v>
      </c>
      <c r="C375" t="s">
        <v>795</v>
      </c>
      <c r="D375" t="s">
        <v>42</v>
      </c>
      <c r="E375" s="33">
        <v>45302</v>
      </c>
    </row>
    <row r="376" spans="1:5">
      <c r="A376" t="s">
        <v>814</v>
      </c>
      <c r="B376" t="s">
        <v>815</v>
      </c>
      <c r="C376" t="s">
        <v>795</v>
      </c>
      <c r="D376" t="s">
        <v>42</v>
      </c>
      <c r="E376" s="33">
        <v>39860</v>
      </c>
    </row>
    <row r="377" spans="1:5">
      <c r="A377" t="s">
        <v>816</v>
      </c>
      <c r="B377" t="s">
        <v>817</v>
      </c>
      <c r="C377" t="s">
        <v>795</v>
      </c>
      <c r="D377" t="s">
        <v>42</v>
      </c>
      <c r="E377" s="33">
        <v>44676</v>
      </c>
    </row>
    <row r="378" spans="1:5">
      <c r="A378" t="s">
        <v>818</v>
      </c>
      <c r="B378" t="s">
        <v>819</v>
      </c>
      <c r="C378" t="s">
        <v>795</v>
      </c>
      <c r="D378" t="s">
        <v>42</v>
      </c>
      <c r="E378" s="33">
        <v>43811</v>
      </c>
    </row>
    <row r="379" spans="1:5">
      <c r="A379" t="s">
        <v>820</v>
      </c>
      <c r="B379" t="s">
        <v>821</v>
      </c>
      <c r="C379" t="s">
        <v>795</v>
      </c>
      <c r="D379" t="s">
        <v>42</v>
      </c>
      <c r="E379" s="33">
        <v>45901</v>
      </c>
    </row>
    <row r="380" spans="1:5">
      <c r="A380" t="s">
        <v>822</v>
      </c>
      <c r="B380" t="s">
        <v>823</v>
      </c>
      <c r="C380" t="s">
        <v>795</v>
      </c>
      <c r="D380" t="s">
        <v>42</v>
      </c>
      <c r="E380" s="33">
        <v>43913</v>
      </c>
    </row>
    <row r="381" spans="1:5">
      <c r="A381" t="s">
        <v>824</v>
      </c>
      <c r="B381" t="s">
        <v>825</v>
      </c>
      <c r="C381" t="s">
        <v>795</v>
      </c>
      <c r="D381" t="s">
        <v>42</v>
      </c>
      <c r="E381" s="33">
        <v>45243</v>
      </c>
    </row>
    <row r="382" spans="1:5">
      <c r="A382" t="s">
        <v>826</v>
      </c>
      <c r="B382" t="s">
        <v>827</v>
      </c>
      <c r="C382" t="s">
        <v>795</v>
      </c>
      <c r="D382" t="s">
        <v>42</v>
      </c>
      <c r="E382" s="33">
        <v>43077</v>
      </c>
    </row>
    <row r="383" spans="1:5">
      <c r="A383" t="s">
        <v>828</v>
      </c>
      <c r="B383" t="s">
        <v>829</v>
      </c>
      <c r="C383" t="s">
        <v>795</v>
      </c>
      <c r="D383" t="s">
        <v>42</v>
      </c>
      <c r="E383" s="33">
        <v>42562</v>
      </c>
    </row>
    <row r="384" spans="1:5">
      <c r="A384" t="s">
        <v>830</v>
      </c>
      <c r="B384" t="s">
        <v>831</v>
      </c>
      <c r="C384" t="s">
        <v>795</v>
      </c>
      <c r="D384" t="s">
        <v>42</v>
      </c>
      <c r="E384" s="33">
        <v>45635</v>
      </c>
    </row>
    <row r="385" spans="1:5">
      <c r="A385" t="s">
        <v>832</v>
      </c>
      <c r="B385" t="s">
        <v>833</v>
      </c>
      <c r="C385" t="s">
        <v>795</v>
      </c>
      <c r="D385" t="s">
        <v>42</v>
      </c>
      <c r="E385" s="33">
        <v>45901</v>
      </c>
    </row>
    <row r="386" spans="1:5">
      <c r="A386" t="s">
        <v>834</v>
      </c>
      <c r="B386" t="s">
        <v>835</v>
      </c>
      <c r="C386" t="s">
        <v>795</v>
      </c>
      <c r="D386" t="s">
        <v>42</v>
      </c>
      <c r="E386" s="33">
        <v>41590</v>
      </c>
    </row>
    <row r="387" spans="1:5">
      <c r="A387" t="s">
        <v>836</v>
      </c>
      <c r="B387" t="s">
        <v>837</v>
      </c>
      <c r="C387" t="s">
        <v>795</v>
      </c>
      <c r="D387" t="s">
        <v>42</v>
      </c>
      <c r="E387" s="33">
        <v>45999</v>
      </c>
    </row>
    <row r="388" spans="1:5">
      <c r="A388" t="s">
        <v>838</v>
      </c>
      <c r="B388" t="s">
        <v>839</v>
      </c>
      <c r="C388" t="s">
        <v>795</v>
      </c>
      <c r="D388" t="s">
        <v>42</v>
      </c>
      <c r="E388" s="33">
        <v>45964</v>
      </c>
    </row>
    <row r="389" spans="1:5">
      <c r="A389" t="s">
        <v>840</v>
      </c>
      <c r="B389" t="s">
        <v>841</v>
      </c>
      <c r="C389" t="s">
        <v>795</v>
      </c>
      <c r="D389" t="s">
        <v>42</v>
      </c>
      <c r="E389" s="33">
        <v>40238</v>
      </c>
    </row>
    <row r="390" spans="1:5">
      <c r="A390" t="s">
        <v>842</v>
      </c>
      <c r="B390" t="s">
        <v>843</v>
      </c>
      <c r="C390" t="s">
        <v>795</v>
      </c>
      <c r="D390" t="s">
        <v>42</v>
      </c>
      <c r="E390" s="33">
        <v>45345</v>
      </c>
    </row>
    <row r="391" spans="1:5">
      <c r="A391" t="s">
        <v>844</v>
      </c>
      <c r="B391" t="s">
        <v>845</v>
      </c>
      <c r="C391" t="s">
        <v>795</v>
      </c>
      <c r="D391" t="s">
        <v>42</v>
      </c>
      <c r="E391" s="33">
        <v>44950</v>
      </c>
    </row>
    <row r="392" spans="1:5">
      <c r="A392" t="s">
        <v>846</v>
      </c>
      <c r="B392" t="s">
        <v>847</v>
      </c>
      <c r="C392" t="s">
        <v>795</v>
      </c>
      <c r="D392" t="s">
        <v>42</v>
      </c>
      <c r="E392" s="33">
        <v>42818</v>
      </c>
    </row>
    <row r="393" spans="1:5">
      <c r="A393" t="s">
        <v>848</v>
      </c>
      <c r="B393" t="s">
        <v>849</v>
      </c>
      <c r="C393" t="s">
        <v>795</v>
      </c>
      <c r="D393" t="s">
        <v>42</v>
      </c>
      <c r="E393" s="33">
        <v>43811</v>
      </c>
    </row>
    <row r="394" spans="1:5">
      <c r="A394" t="s">
        <v>850</v>
      </c>
      <c r="B394" t="s">
        <v>851</v>
      </c>
      <c r="C394" t="s">
        <v>795</v>
      </c>
      <c r="D394" t="s">
        <v>42</v>
      </c>
      <c r="E394" s="33">
        <v>40214</v>
      </c>
    </row>
    <row r="395" spans="1:5">
      <c r="A395" t="s">
        <v>852</v>
      </c>
      <c r="B395" t="s">
        <v>853</v>
      </c>
      <c r="C395" t="s">
        <v>795</v>
      </c>
      <c r="D395" t="s">
        <v>42</v>
      </c>
      <c r="E395" s="33">
        <v>42293</v>
      </c>
    </row>
    <row r="396" spans="1:5">
      <c r="A396" t="s">
        <v>854</v>
      </c>
      <c r="B396" t="s">
        <v>855</v>
      </c>
      <c r="C396" t="s">
        <v>795</v>
      </c>
      <c r="D396" t="s">
        <v>42</v>
      </c>
      <c r="E396" s="33">
        <v>43157</v>
      </c>
    </row>
    <row r="397" spans="1:5">
      <c r="A397" t="s">
        <v>856</v>
      </c>
      <c r="B397" t="s">
        <v>857</v>
      </c>
      <c r="C397" t="s">
        <v>795</v>
      </c>
      <c r="D397" t="s">
        <v>42</v>
      </c>
      <c r="E397" s="33">
        <v>43371</v>
      </c>
    </row>
    <row r="398" spans="1:5">
      <c r="A398" t="s">
        <v>858</v>
      </c>
      <c r="B398" t="s">
        <v>859</v>
      </c>
      <c r="C398" t="s">
        <v>795</v>
      </c>
      <c r="D398" t="s">
        <v>42</v>
      </c>
      <c r="E398" s="33">
        <v>45253</v>
      </c>
    </row>
    <row r="399" spans="1:5">
      <c r="A399" t="s">
        <v>860</v>
      </c>
      <c r="B399" t="s">
        <v>861</v>
      </c>
      <c r="C399" t="s">
        <v>795</v>
      </c>
      <c r="D399" t="s">
        <v>42</v>
      </c>
      <c r="E399" s="33">
        <v>45684</v>
      </c>
    </row>
    <row r="400" spans="1:5">
      <c r="A400" t="s">
        <v>862</v>
      </c>
      <c r="B400" t="s">
        <v>863</v>
      </c>
      <c r="C400" t="s">
        <v>795</v>
      </c>
      <c r="D400" t="s">
        <v>42</v>
      </c>
      <c r="E400" s="33">
        <v>41617</v>
      </c>
    </row>
    <row r="401" spans="1:5">
      <c r="A401" t="s">
        <v>864</v>
      </c>
      <c r="B401" t="s">
        <v>865</v>
      </c>
      <c r="C401" t="s">
        <v>795</v>
      </c>
      <c r="D401" t="s">
        <v>42</v>
      </c>
      <c r="E401" s="33">
        <v>41320</v>
      </c>
    </row>
    <row r="402" spans="1:5">
      <c r="A402" t="s">
        <v>866</v>
      </c>
      <c r="B402" t="s">
        <v>867</v>
      </c>
      <c r="C402" t="s">
        <v>795</v>
      </c>
      <c r="D402" t="s">
        <v>42</v>
      </c>
      <c r="E402" s="33">
        <v>41407</v>
      </c>
    </row>
    <row r="403" spans="1:5">
      <c r="A403" t="s">
        <v>868</v>
      </c>
      <c r="B403" t="s">
        <v>869</v>
      </c>
      <c r="C403" t="s">
        <v>795</v>
      </c>
      <c r="D403" t="s">
        <v>42</v>
      </c>
      <c r="E403" s="33">
        <v>45182</v>
      </c>
    </row>
    <row r="404" spans="1:5">
      <c r="A404" t="s">
        <v>870</v>
      </c>
      <c r="B404" t="s">
        <v>871</v>
      </c>
      <c r="C404" t="s">
        <v>795</v>
      </c>
      <c r="D404" t="s">
        <v>42</v>
      </c>
      <c r="E404" s="33">
        <v>39022</v>
      </c>
    </row>
    <row r="405" spans="1:5">
      <c r="A405" t="s">
        <v>872</v>
      </c>
      <c r="B405" t="s">
        <v>873</v>
      </c>
      <c r="C405" t="s">
        <v>795</v>
      </c>
      <c r="D405" t="s">
        <v>42</v>
      </c>
      <c r="E405" s="33">
        <v>41108</v>
      </c>
    </row>
    <row r="406" spans="1:5">
      <c r="A406" t="s">
        <v>874</v>
      </c>
      <c r="B406" t="s">
        <v>875</v>
      </c>
      <c r="C406" t="s">
        <v>876</v>
      </c>
      <c r="D406" t="s">
        <v>42</v>
      </c>
      <c r="E406" s="33">
        <v>45750</v>
      </c>
    </row>
    <row r="407" spans="1:5">
      <c r="A407" t="s">
        <v>877</v>
      </c>
      <c r="B407" t="s">
        <v>878</v>
      </c>
      <c r="C407" t="s">
        <v>876</v>
      </c>
      <c r="D407" t="s">
        <v>42</v>
      </c>
      <c r="E407" s="33">
        <v>42291</v>
      </c>
    </row>
    <row r="408" spans="1:5">
      <c r="A408" t="s">
        <v>879</v>
      </c>
      <c r="B408" t="s">
        <v>880</v>
      </c>
      <c r="C408" t="s">
        <v>876</v>
      </c>
      <c r="D408" t="s">
        <v>42</v>
      </c>
      <c r="E408" s="33">
        <v>45999</v>
      </c>
    </row>
    <row r="409" spans="1:5">
      <c r="A409" t="s">
        <v>881</v>
      </c>
      <c r="B409" t="s">
        <v>882</v>
      </c>
      <c r="C409" t="s">
        <v>876</v>
      </c>
      <c r="D409" t="s">
        <v>42</v>
      </c>
      <c r="E409" s="33">
        <v>42136</v>
      </c>
    </row>
    <row r="410" spans="1:5">
      <c r="A410" t="s">
        <v>883</v>
      </c>
      <c r="B410" t="s">
        <v>884</v>
      </c>
      <c r="C410" t="s">
        <v>876</v>
      </c>
      <c r="D410" t="s">
        <v>42</v>
      </c>
      <c r="E410" s="33">
        <v>43871</v>
      </c>
    </row>
    <row r="411" spans="1:5">
      <c r="A411" t="s">
        <v>885</v>
      </c>
      <c r="B411" t="s">
        <v>886</v>
      </c>
      <c r="C411" t="s">
        <v>876</v>
      </c>
      <c r="D411" t="s">
        <v>42</v>
      </c>
      <c r="E411" s="33">
        <v>43294</v>
      </c>
    </row>
    <row r="412" spans="1:5">
      <c r="A412" t="s">
        <v>887</v>
      </c>
      <c r="B412" t="s">
        <v>888</v>
      </c>
      <c r="C412" t="s">
        <v>876</v>
      </c>
      <c r="D412" t="s">
        <v>42</v>
      </c>
      <c r="E412" s="33">
        <v>43509</v>
      </c>
    </row>
    <row r="413" spans="1:5">
      <c r="A413" t="s">
        <v>889</v>
      </c>
      <c r="B413" t="s">
        <v>890</v>
      </c>
      <c r="C413" t="s">
        <v>876</v>
      </c>
      <c r="D413" t="s">
        <v>42</v>
      </c>
      <c r="E413" s="33">
        <v>45901</v>
      </c>
    </row>
    <row r="414" spans="1:5">
      <c r="A414" t="s">
        <v>891</v>
      </c>
      <c r="B414" t="s">
        <v>892</v>
      </c>
      <c r="C414" t="s">
        <v>876</v>
      </c>
      <c r="D414" t="s">
        <v>42</v>
      </c>
      <c r="E414" s="33">
        <v>41066</v>
      </c>
    </row>
    <row r="415" spans="1:5">
      <c r="A415" t="s">
        <v>893</v>
      </c>
      <c r="B415" t="s">
        <v>894</v>
      </c>
      <c r="C415" t="s">
        <v>876</v>
      </c>
      <c r="D415" t="s">
        <v>42</v>
      </c>
      <c r="E415" s="33">
        <v>44368</v>
      </c>
    </row>
    <row r="416" spans="1:5">
      <c r="A416" t="s">
        <v>895</v>
      </c>
      <c r="B416" t="s">
        <v>896</v>
      </c>
      <c r="C416" t="s">
        <v>876</v>
      </c>
      <c r="D416" t="s">
        <v>42</v>
      </c>
      <c r="E416" s="33">
        <v>42284</v>
      </c>
    </row>
    <row r="417" spans="1:5">
      <c r="A417" t="s">
        <v>897</v>
      </c>
      <c r="B417" t="s">
        <v>898</v>
      </c>
      <c r="C417" t="s">
        <v>876</v>
      </c>
      <c r="D417" t="s">
        <v>42</v>
      </c>
      <c r="E417" s="33">
        <v>44938</v>
      </c>
    </row>
    <row r="418" spans="1:5">
      <c r="A418" t="s">
        <v>899</v>
      </c>
      <c r="B418" t="s">
        <v>900</v>
      </c>
      <c r="C418" t="s">
        <v>876</v>
      </c>
      <c r="D418" t="s">
        <v>42</v>
      </c>
      <c r="E418" s="33">
        <v>42711</v>
      </c>
    </row>
    <row r="419" spans="1:5">
      <c r="A419" t="s">
        <v>901</v>
      </c>
      <c r="B419" t="s">
        <v>902</v>
      </c>
      <c r="C419" t="s">
        <v>876</v>
      </c>
      <c r="D419" t="s">
        <v>42</v>
      </c>
      <c r="E419" s="33">
        <v>44068</v>
      </c>
    </row>
    <row r="420" spans="1:5">
      <c r="A420" t="s">
        <v>903</v>
      </c>
      <c r="B420" t="s">
        <v>904</v>
      </c>
      <c r="C420" t="s">
        <v>876</v>
      </c>
      <c r="D420" t="s">
        <v>42</v>
      </c>
      <c r="E420" s="33">
        <v>44291</v>
      </c>
    </row>
    <row r="421" spans="1:5">
      <c r="A421" t="s">
        <v>905</v>
      </c>
      <c r="B421" t="s">
        <v>906</v>
      </c>
      <c r="C421" t="s">
        <v>876</v>
      </c>
      <c r="D421" t="s">
        <v>42</v>
      </c>
      <c r="E421" s="33">
        <v>43717</v>
      </c>
    </row>
    <row r="422" spans="1:5">
      <c r="A422" t="s">
        <v>907</v>
      </c>
      <c r="B422" t="s">
        <v>908</v>
      </c>
      <c r="C422" t="s">
        <v>876</v>
      </c>
      <c r="D422" t="s">
        <v>42</v>
      </c>
      <c r="E422" s="33">
        <v>44176</v>
      </c>
    </row>
    <row r="423" spans="1:5">
      <c r="A423" t="s">
        <v>909</v>
      </c>
      <c r="B423" t="s">
        <v>910</v>
      </c>
      <c r="C423" t="s">
        <v>876</v>
      </c>
      <c r="D423" t="s">
        <v>42</v>
      </c>
      <c r="E423" s="33">
        <v>44676</v>
      </c>
    </row>
    <row r="424" spans="1:5">
      <c r="A424" t="s">
        <v>911</v>
      </c>
      <c r="B424" t="s">
        <v>912</v>
      </c>
      <c r="C424" t="s">
        <v>876</v>
      </c>
      <c r="D424" t="s">
        <v>42</v>
      </c>
      <c r="E424" s="33">
        <v>41631</v>
      </c>
    </row>
    <row r="425" spans="1:5">
      <c r="A425" t="s">
        <v>913</v>
      </c>
      <c r="B425" t="s">
        <v>914</v>
      </c>
      <c r="C425" t="s">
        <v>876</v>
      </c>
      <c r="D425" t="s">
        <v>42</v>
      </c>
      <c r="E425" s="33">
        <v>43668</v>
      </c>
    </row>
    <row r="426" spans="1:5">
      <c r="A426" t="s">
        <v>915</v>
      </c>
      <c r="B426" t="s">
        <v>916</v>
      </c>
      <c r="C426" t="s">
        <v>876</v>
      </c>
      <c r="D426" t="s">
        <v>42</v>
      </c>
      <c r="E426" s="33">
        <v>43399</v>
      </c>
    </row>
    <row r="427" spans="1:5">
      <c r="A427" t="s">
        <v>917</v>
      </c>
      <c r="B427" t="s">
        <v>918</v>
      </c>
      <c r="C427" t="s">
        <v>876</v>
      </c>
      <c r="D427" t="s">
        <v>42</v>
      </c>
      <c r="E427" s="33">
        <v>42296</v>
      </c>
    </row>
    <row r="428" spans="1:5">
      <c r="A428" t="s">
        <v>919</v>
      </c>
      <c r="B428" t="s">
        <v>920</v>
      </c>
      <c r="C428" t="s">
        <v>876</v>
      </c>
      <c r="D428" t="s">
        <v>42</v>
      </c>
      <c r="E428" s="33">
        <v>43202</v>
      </c>
    </row>
    <row r="429" spans="1:5">
      <c r="A429" t="s">
        <v>921</v>
      </c>
      <c r="B429" t="s">
        <v>922</v>
      </c>
      <c r="C429" t="s">
        <v>876</v>
      </c>
      <c r="D429" t="s">
        <v>42</v>
      </c>
      <c r="E429" s="33">
        <v>45547</v>
      </c>
    </row>
    <row r="430" spans="1:5">
      <c r="A430" t="s">
        <v>923</v>
      </c>
      <c r="B430" t="s">
        <v>924</v>
      </c>
      <c r="C430" t="s">
        <v>876</v>
      </c>
      <c r="D430" t="s">
        <v>42</v>
      </c>
      <c r="E430" s="33">
        <v>42019</v>
      </c>
    </row>
    <row r="431" spans="1:5">
      <c r="A431" t="s">
        <v>925</v>
      </c>
      <c r="B431" t="s">
        <v>926</v>
      </c>
      <c r="C431" t="s">
        <v>876</v>
      </c>
      <c r="D431" t="s">
        <v>42</v>
      </c>
      <c r="E431" s="33">
        <v>44060</v>
      </c>
    </row>
    <row r="432" spans="1:5">
      <c r="A432" t="s">
        <v>927</v>
      </c>
      <c r="B432" t="s">
        <v>928</v>
      </c>
      <c r="C432" t="s">
        <v>876</v>
      </c>
      <c r="D432" t="s">
        <v>42</v>
      </c>
      <c r="E432" s="33">
        <v>45517</v>
      </c>
    </row>
    <row r="433" spans="1:5">
      <c r="A433" t="s">
        <v>929</v>
      </c>
      <c r="B433" t="s">
        <v>930</v>
      </c>
      <c r="C433" t="s">
        <v>876</v>
      </c>
      <c r="D433" t="s">
        <v>42</v>
      </c>
      <c r="E433" s="33">
        <v>44237</v>
      </c>
    </row>
    <row r="434" spans="1:5">
      <c r="A434" t="s">
        <v>931</v>
      </c>
      <c r="B434" t="s">
        <v>932</v>
      </c>
      <c r="C434" t="s">
        <v>876</v>
      </c>
      <c r="D434" t="s">
        <v>42</v>
      </c>
      <c r="E434" s="33">
        <v>41498</v>
      </c>
    </row>
    <row r="435" spans="1:5">
      <c r="A435" t="s">
        <v>933</v>
      </c>
      <c r="B435" t="s">
        <v>934</v>
      </c>
      <c r="C435" t="s">
        <v>876</v>
      </c>
      <c r="D435" t="s">
        <v>42</v>
      </c>
      <c r="E435" s="33">
        <v>40695</v>
      </c>
    </row>
    <row r="436" spans="1:5">
      <c r="A436" t="s">
        <v>935</v>
      </c>
      <c r="B436" t="s">
        <v>936</v>
      </c>
      <c r="C436" t="s">
        <v>876</v>
      </c>
      <c r="D436" t="s">
        <v>42</v>
      </c>
      <c r="E436" s="33">
        <v>44368</v>
      </c>
    </row>
    <row r="437" spans="1:5">
      <c r="A437" t="s">
        <v>937</v>
      </c>
      <c r="B437" t="s">
        <v>938</v>
      </c>
      <c r="C437" t="s">
        <v>939</v>
      </c>
      <c r="D437" t="s">
        <v>62</v>
      </c>
      <c r="E437" s="33">
        <v>35313</v>
      </c>
    </row>
    <row r="438" spans="1:5">
      <c r="A438" t="s">
        <v>940</v>
      </c>
      <c r="B438" t="s">
        <v>941</v>
      </c>
      <c r="C438" t="s">
        <v>939</v>
      </c>
      <c r="D438" t="s">
        <v>62</v>
      </c>
      <c r="E438" s="33">
        <v>43934</v>
      </c>
    </row>
    <row r="439" spans="1:5">
      <c r="A439" t="s">
        <v>942</v>
      </c>
      <c r="B439" t="s">
        <v>943</v>
      </c>
      <c r="C439" t="s">
        <v>939</v>
      </c>
      <c r="D439" t="s">
        <v>62</v>
      </c>
      <c r="E439" s="33">
        <v>45040</v>
      </c>
    </row>
    <row r="440" spans="1:5">
      <c r="A440" t="s">
        <v>944</v>
      </c>
      <c r="B440" t="s">
        <v>945</v>
      </c>
      <c r="C440" t="s">
        <v>939</v>
      </c>
      <c r="D440" t="s">
        <v>62</v>
      </c>
      <c r="E440" s="33">
        <v>45524</v>
      </c>
    </row>
    <row r="441" spans="1:5">
      <c r="A441" t="s">
        <v>946</v>
      </c>
      <c r="B441" t="s">
        <v>947</v>
      </c>
      <c r="C441" t="s">
        <v>939</v>
      </c>
      <c r="D441" t="s">
        <v>62</v>
      </c>
      <c r="E441" s="33">
        <v>45692</v>
      </c>
    </row>
    <row r="442" spans="1:5">
      <c r="A442" t="s">
        <v>948</v>
      </c>
      <c r="B442" t="s">
        <v>949</v>
      </c>
      <c r="C442" t="s">
        <v>939</v>
      </c>
      <c r="D442" t="s">
        <v>62</v>
      </c>
      <c r="E442" s="33">
        <v>45692</v>
      </c>
    </row>
    <row r="443" spans="1:5">
      <c r="A443" t="s">
        <v>950</v>
      </c>
      <c r="B443" t="s">
        <v>951</v>
      </c>
      <c r="C443" t="s">
        <v>939</v>
      </c>
      <c r="D443" t="s">
        <v>62</v>
      </c>
      <c r="E443" s="33">
        <v>42965</v>
      </c>
    </row>
    <row r="444" spans="1:5">
      <c r="A444" t="s">
        <v>952</v>
      </c>
      <c r="B444" t="s">
        <v>953</v>
      </c>
      <c r="C444" t="s">
        <v>939</v>
      </c>
      <c r="D444" t="s">
        <v>62</v>
      </c>
      <c r="E444" s="33">
        <v>45728</v>
      </c>
    </row>
    <row r="445" spans="1:5">
      <c r="A445" t="s">
        <v>954</v>
      </c>
      <c r="B445" t="s">
        <v>955</v>
      </c>
      <c r="C445" t="s">
        <v>939</v>
      </c>
      <c r="D445" t="s">
        <v>62</v>
      </c>
      <c r="E445" s="33">
        <v>34029</v>
      </c>
    </row>
    <row r="446" spans="1:5">
      <c r="A446" t="s">
        <v>956</v>
      </c>
      <c r="B446" t="s">
        <v>957</v>
      </c>
      <c r="C446" t="s">
        <v>939</v>
      </c>
      <c r="D446" t="s">
        <v>62</v>
      </c>
      <c r="E446" s="33">
        <v>45547</v>
      </c>
    </row>
    <row r="447" spans="1:5">
      <c r="A447" t="s">
        <v>958</v>
      </c>
      <c r="B447" t="s">
        <v>959</v>
      </c>
      <c r="C447" t="s">
        <v>939</v>
      </c>
      <c r="D447" t="s">
        <v>62</v>
      </c>
      <c r="E447" s="33">
        <v>45399</v>
      </c>
    </row>
  </sheetData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47">
    <tabColor rgb="FFC00000"/>
  </sheetPr>
  <dimension ref="A1:Z809"/>
  <sheetViews>
    <sheetView showGridLines="0" showRowColHeaders="0" view="pageLayout" zoomScale="70" zoomScaleNormal="85" zoomScalePageLayoutView="70" workbookViewId="0">
      <selection activeCell="N50" sqref="N50"/>
    </sheetView>
  </sheetViews>
  <sheetFormatPr defaultRowHeight="15"/>
  <cols>
    <col min="1" max="1" width="8.85546875" style="13"/>
    <col min="2" max="2" width="55.5703125" customWidth="1"/>
    <col min="3" max="3" width="0.7109375" customWidth="1"/>
    <col min="4" max="4" width="15.5703125" customWidth="1"/>
    <col min="5" max="5" width="0.7109375" customWidth="1"/>
    <col min="6" max="6" width="15.5703125" customWidth="1"/>
    <col min="7" max="7" width="0.7109375" customWidth="1"/>
    <col min="8" max="8" width="15.5703125" customWidth="1"/>
    <col min="9" max="9" width="0.7109375" customWidth="1"/>
    <col min="10" max="10" width="15.5703125" customWidth="1"/>
    <col min="11" max="11" width="0.7109375" customWidth="1"/>
    <col min="12" max="12" width="15.5703125" customWidth="1"/>
    <col min="13" max="13" width="0.7109375" customWidth="1"/>
    <col min="14" max="14" width="15.5703125" customWidth="1"/>
    <col min="15" max="15" width="0.7109375" customWidth="1"/>
    <col min="16" max="16" width="15.5703125" customWidth="1"/>
    <col min="17" max="17" width="0.7109375" customWidth="1"/>
    <col min="18" max="18" width="15.5703125" customWidth="1"/>
    <col min="19" max="19" width="0.7109375" customWidth="1"/>
    <col min="20" max="20" width="65.85546875" customWidth="1"/>
    <col min="23" max="23" width="11.28515625" bestFit="1" customWidth="1"/>
    <col min="25" max="25" width="0" hidden="1" customWidth="1"/>
    <col min="26" max="26" width="2.85546875" hidden="1" customWidth="1"/>
  </cols>
  <sheetData>
    <row r="1" spans="1:26" s="1" customFormat="1" ht="19.149999999999999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8"/>
      <c r="Y1" s="27">
        <v>0</v>
      </c>
      <c r="Z1" s="31">
        <v>1</v>
      </c>
    </row>
    <row r="2" spans="1:26" s="1" customFormat="1" ht="19.149999999999999" customHeight="1">
      <c r="A2" s="39" t="s">
        <v>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Y2" s="27"/>
      <c r="Z2" s="31" t="e">
        <f>LARGE(Y:Y,1)</f>
        <v>#REF!</v>
      </c>
    </row>
    <row r="3" spans="1:26" s="1" customFormat="1" ht="19.149999999999999" customHeight="1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4"/>
      <c r="W3" s="8"/>
      <c r="Y3" s="27"/>
    </row>
    <row r="4" spans="1:26" s="2" customFormat="1" ht="25.9" customHeight="1">
      <c r="A4" s="45" t="e">
        <f>" 32.677.726/0001-50                                                                                                                                                                                       PEDIDO DE VEGETAIS - "&amp;INDEX(Colaboradores!H:H,MATCH(#REF!,Colaboradores!A:A,0))</f>
        <v>#REF!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Y4" s="28"/>
    </row>
    <row r="5" spans="1:26" ht="6" customHeight="1">
      <c r="Y5" s="29"/>
    </row>
    <row r="6" spans="1:26" ht="24" customHeight="1">
      <c r="D6" s="48" t="s">
        <v>29</v>
      </c>
      <c r="E6" s="49"/>
      <c r="F6" s="50"/>
      <c r="H6" s="48" t="s">
        <v>28</v>
      </c>
      <c r="I6" s="49"/>
      <c r="J6" s="50"/>
      <c r="L6" s="48" t="s">
        <v>30</v>
      </c>
      <c r="M6" s="49"/>
      <c r="N6" s="50"/>
      <c r="P6" s="48" t="s">
        <v>33</v>
      </c>
      <c r="Q6" s="49"/>
      <c r="R6" s="50"/>
      <c r="Y6" s="29"/>
    </row>
    <row r="7" spans="1:26" ht="20.45" customHeight="1">
      <c r="A7" s="14" t="s">
        <v>2</v>
      </c>
      <c r="B7" s="3" t="s">
        <v>3</v>
      </c>
      <c r="C7" s="4"/>
      <c r="D7" s="20" t="s">
        <v>26</v>
      </c>
      <c r="E7" s="21"/>
      <c r="F7" s="22" t="s">
        <v>27</v>
      </c>
      <c r="H7" s="20" t="s">
        <v>26</v>
      </c>
      <c r="I7" s="23"/>
      <c r="J7" s="24" t="s">
        <v>27</v>
      </c>
      <c r="K7" s="16"/>
      <c r="L7" s="20" t="s">
        <v>26</v>
      </c>
      <c r="M7" s="23"/>
      <c r="N7" s="24" t="s">
        <v>27</v>
      </c>
      <c r="O7" s="4"/>
      <c r="P7" s="20" t="s">
        <v>26</v>
      </c>
      <c r="Q7" s="23"/>
      <c r="R7" s="24" t="s">
        <v>27</v>
      </c>
      <c r="S7" s="4"/>
      <c r="T7" s="5" t="s">
        <v>4</v>
      </c>
      <c r="Y7" s="29"/>
    </row>
    <row r="8" spans="1:26" ht="12.6" customHeight="1">
      <c r="A8"/>
      <c r="Y8" s="30" t="str">
        <f>IF($A8="","",LARGE($N$1:$N7,1)+1)</f>
        <v/>
      </c>
    </row>
    <row r="9" spans="1:26" ht="21.6" customHeight="1">
      <c r="A9" s="26" t="e">
        <f>IF(#REF!="","",#REF!)</f>
        <v>#REF!</v>
      </c>
      <c r="B9" s="25" t="e">
        <f>IF(#REF!="","",#REF!)</f>
        <v>#REF!</v>
      </c>
      <c r="D9" s="7"/>
      <c r="F9" s="7"/>
      <c r="H9" s="7"/>
      <c r="J9" s="7"/>
      <c r="L9" s="7"/>
      <c r="N9" s="7"/>
      <c r="P9" s="7"/>
      <c r="R9" s="7"/>
      <c r="Y9" s="30" t="e">
        <f>IF($A9="","",LARGE($Y$1:$Y8,1)+1)</f>
        <v>#REF!</v>
      </c>
    </row>
    <row r="10" spans="1:26" ht="9" customHeight="1">
      <c r="A10" s="26" t="e">
        <f>IF(#REF!="","",#REF!)</f>
        <v>#REF!</v>
      </c>
      <c r="B10" s="25" t="e">
        <f>IF(#REF!="","",#REF!)</f>
        <v>#REF!</v>
      </c>
      <c r="D10" s="7"/>
      <c r="F10" s="7"/>
      <c r="H10" s="7"/>
      <c r="J10" s="7"/>
      <c r="L10" s="7"/>
      <c r="N10" s="7"/>
      <c r="P10" s="7"/>
      <c r="R10" s="7"/>
      <c r="Y10" s="29"/>
    </row>
    <row r="11" spans="1:26" ht="21.6" customHeight="1">
      <c r="A11" s="26" t="e">
        <f>IF(#REF!="","",#REF!)</f>
        <v>#REF!</v>
      </c>
      <c r="B11" s="25" t="e">
        <f>IF(#REF!="","",#REF!)</f>
        <v>#REF!</v>
      </c>
      <c r="D11" s="7"/>
      <c r="F11" s="7"/>
      <c r="H11" s="7"/>
      <c r="J11" s="7"/>
      <c r="L11" s="7"/>
      <c r="N11" s="7"/>
      <c r="P11" s="7"/>
      <c r="R11" s="7"/>
      <c r="Y11" s="29"/>
    </row>
    <row r="12" spans="1:26" ht="9" customHeight="1">
      <c r="A12" s="26" t="e">
        <f>IF(#REF!="","",#REF!)</f>
        <v>#REF!</v>
      </c>
      <c r="B12" s="25" t="e">
        <f>IF(#REF!="","",#REF!)</f>
        <v>#REF!</v>
      </c>
      <c r="D12" s="7"/>
      <c r="F12" s="7"/>
      <c r="H12" s="7"/>
      <c r="J12" s="7"/>
      <c r="L12" s="7"/>
      <c r="N12" s="7"/>
      <c r="P12" s="7"/>
      <c r="R12" s="7"/>
      <c r="Y12" s="29"/>
    </row>
    <row r="13" spans="1:26" ht="21.6" customHeight="1">
      <c r="A13" s="26" t="e">
        <f>IF(#REF!="","",#REF!)</f>
        <v>#REF!</v>
      </c>
      <c r="B13" s="25" t="e">
        <f>IF(#REF!="","",#REF!)</f>
        <v>#REF!</v>
      </c>
      <c r="D13" s="7"/>
      <c r="F13" s="7"/>
      <c r="H13" s="7"/>
      <c r="J13" s="7"/>
      <c r="L13" s="7"/>
      <c r="N13" s="7"/>
      <c r="P13" s="7"/>
      <c r="R13" s="7"/>
      <c r="Y13" s="29"/>
    </row>
    <row r="14" spans="1:26" ht="9" customHeight="1">
      <c r="A14" s="26" t="e">
        <f>IF(#REF!="","",#REF!)</f>
        <v>#REF!</v>
      </c>
      <c r="B14" s="25" t="e">
        <f>IF(#REF!="","",#REF!)</f>
        <v>#REF!</v>
      </c>
      <c r="D14" s="7"/>
      <c r="F14" s="7"/>
      <c r="H14" s="7"/>
      <c r="J14" s="7"/>
      <c r="L14" s="7"/>
      <c r="N14" s="7"/>
      <c r="P14" s="7"/>
      <c r="R14" s="7"/>
      <c r="Y14" s="29"/>
    </row>
    <row r="15" spans="1:26" ht="21.6" customHeight="1">
      <c r="A15" s="26" t="e">
        <f>IF(#REF!="","",#REF!)</f>
        <v>#REF!</v>
      </c>
      <c r="B15" s="25" t="e">
        <f>IF(#REF!="","",#REF!)</f>
        <v>#REF!</v>
      </c>
      <c r="D15" s="7"/>
      <c r="F15" s="7"/>
      <c r="H15" s="7"/>
      <c r="J15" s="7"/>
      <c r="L15" s="7"/>
      <c r="N15" s="7"/>
      <c r="P15" s="7"/>
      <c r="R15" s="7"/>
      <c r="Y15" s="29"/>
    </row>
    <row r="16" spans="1:26" ht="9" customHeight="1">
      <c r="A16" s="26" t="e">
        <f>IF(#REF!="","",#REF!)</f>
        <v>#REF!</v>
      </c>
      <c r="B16" s="25" t="e">
        <f>IF(#REF!="","",#REF!)</f>
        <v>#REF!</v>
      </c>
      <c r="D16" s="7"/>
      <c r="F16" s="7"/>
      <c r="H16" s="7"/>
      <c r="J16" s="7"/>
      <c r="L16" s="7"/>
      <c r="N16" s="7"/>
      <c r="P16" s="7"/>
      <c r="R16" s="7"/>
      <c r="Y16" s="29"/>
    </row>
    <row r="17" spans="1:25" ht="21.6" customHeight="1">
      <c r="A17" s="26" t="e">
        <f>IF(#REF!="","",#REF!)</f>
        <v>#REF!</v>
      </c>
      <c r="B17" s="25" t="e">
        <f>IF(#REF!="","",#REF!)</f>
        <v>#REF!</v>
      </c>
      <c r="D17" s="7"/>
      <c r="F17" s="7"/>
      <c r="H17" s="7"/>
      <c r="J17" s="7"/>
      <c r="L17" s="7"/>
      <c r="N17" s="7"/>
      <c r="P17" s="7"/>
      <c r="R17" s="7"/>
      <c r="Y17" s="29"/>
    </row>
    <row r="18" spans="1:25" ht="9" customHeight="1">
      <c r="A18" s="26" t="e">
        <f>IF(#REF!="","",#REF!)</f>
        <v>#REF!</v>
      </c>
      <c r="B18" s="25" t="e">
        <f>IF(#REF!="","",#REF!)</f>
        <v>#REF!</v>
      </c>
      <c r="D18" s="7"/>
      <c r="F18" s="7"/>
      <c r="H18" s="7"/>
      <c r="J18" s="7"/>
      <c r="L18" s="7"/>
      <c r="N18" s="7"/>
      <c r="P18" s="7"/>
      <c r="R18" s="7"/>
      <c r="Y18" s="29"/>
    </row>
    <row r="19" spans="1:25" ht="21.6" customHeight="1">
      <c r="A19" s="26" t="e">
        <f>IF(#REF!="","",#REF!)</f>
        <v>#REF!</v>
      </c>
      <c r="B19" s="25" t="e">
        <f>IF(#REF!="","",#REF!)</f>
        <v>#REF!</v>
      </c>
      <c r="Y19" s="29"/>
    </row>
    <row r="20" spans="1:25" ht="9" customHeight="1">
      <c r="A20" s="26" t="e">
        <f>IF(#REF!="","",#REF!)</f>
        <v>#REF!</v>
      </c>
      <c r="B20" s="25" t="e">
        <f>IF(#REF!="","",#REF!)</f>
        <v>#REF!</v>
      </c>
      <c r="Y20" s="29"/>
    </row>
    <row r="21" spans="1:25" ht="21.6" customHeight="1">
      <c r="A21" s="26" t="e">
        <f>IF(#REF!="","",#REF!)</f>
        <v>#REF!</v>
      </c>
      <c r="B21" s="25" t="e">
        <f>IF(#REF!="","",#REF!)</f>
        <v>#REF!</v>
      </c>
      <c r="Y21" s="29"/>
    </row>
    <row r="22" spans="1:25" ht="9" customHeight="1">
      <c r="A22" s="26" t="e">
        <f>IF(#REF!="","",#REF!)</f>
        <v>#REF!</v>
      </c>
      <c r="B22" s="25" t="e">
        <f>IF(#REF!="","",#REF!)</f>
        <v>#REF!</v>
      </c>
      <c r="Y22" s="29"/>
    </row>
    <row r="23" spans="1:25" ht="21.6" customHeight="1">
      <c r="A23" s="26" t="e">
        <f>IF(#REF!="","",#REF!)</f>
        <v>#REF!</v>
      </c>
      <c r="B23" s="25" t="e">
        <f>IF(#REF!="","",#REF!)</f>
        <v>#REF!</v>
      </c>
      <c r="Y23" s="29"/>
    </row>
    <row r="24" spans="1:25" ht="9" customHeight="1">
      <c r="A24" s="26" t="e">
        <f>IF(#REF!="","",#REF!)</f>
        <v>#REF!</v>
      </c>
      <c r="B24" s="25" t="e">
        <f>IF(#REF!="","",#REF!)</f>
        <v>#REF!</v>
      </c>
      <c r="Y24" s="29"/>
    </row>
    <row r="25" spans="1:25" ht="21.6" customHeight="1">
      <c r="A25" s="26" t="e">
        <f>IF(#REF!="","",#REF!)</f>
        <v>#REF!</v>
      </c>
      <c r="B25" s="25" t="e">
        <f>IF(#REF!="","",#REF!)</f>
        <v>#REF!</v>
      </c>
      <c r="Y25" s="29"/>
    </row>
    <row r="26" spans="1:25" ht="9" customHeight="1">
      <c r="A26" s="26" t="e">
        <f>IF(#REF!="","",#REF!)</f>
        <v>#REF!</v>
      </c>
      <c r="B26" s="25" t="e">
        <f>IF(#REF!="","",#REF!)</f>
        <v>#REF!</v>
      </c>
      <c r="Y26" s="29"/>
    </row>
    <row r="27" spans="1:25" ht="21.6" customHeight="1">
      <c r="A27" s="26" t="e">
        <f>IF(#REF!="","",#REF!)</f>
        <v>#REF!</v>
      </c>
      <c r="B27" s="25" t="e">
        <f>IF(#REF!="","",#REF!)</f>
        <v>#REF!</v>
      </c>
      <c r="Y27" s="29"/>
    </row>
    <row r="28" spans="1:25" ht="9" customHeight="1">
      <c r="A28" s="26" t="e">
        <f>IF(#REF!="","",#REF!)</f>
        <v>#REF!</v>
      </c>
      <c r="B28" s="25" t="e">
        <f>IF(#REF!="","",#REF!)</f>
        <v>#REF!</v>
      </c>
      <c r="Y28" s="29"/>
    </row>
    <row r="29" spans="1:25" ht="21.6" customHeight="1">
      <c r="A29" s="26" t="e">
        <f>IF(#REF!="","",#REF!)</f>
        <v>#REF!</v>
      </c>
      <c r="B29" s="25" t="e">
        <f>IF(#REF!="","",#REF!)</f>
        <v>#REF!</v>
      </c>
      <c r="Y29" s="29"/>
    </row>
    <row r="30" spans="1:25" ht="9" customHeight="1">
      <c r="A30" s="26" t="e">
        <f>IF(#REF!="","",#REF!)</f>
        <v>#REF!</v>
      </c>
      <c r="B30" s="25" t="e">
        <f>IF(#REF!="","",#REF!)</f>
        <v>#REF!</v>
      </c>
      <c r="D30" s="7"/>
      <c r="F30" s="7"/>
      <c r="H30" s="7"/>
      <c r="J30" s="7"/>
      <c r="L30" s="7"/>
      <c r="N30" s="7"/>
      <c r="P30" s="7"/>
      <c r="R30" s="7"/>
      <c r="Y30" s="29"/>
    </row>
    <row r="31" spans="1:25" ht="21.6" customHeight="1">
      <c r="A31" s="26" t="e">
        <f>IF(#REF!="","",#REF!)</f>
        <v>#REF!</v>
      </c>
      <c r="B31" s="25" t="e">
        <f>IF(#REF!="","",#REF!)</f>
        <v>#REF!</v>
      </c>
      <c r="D31" s="7"/>
      <c r="F31" s="7"/>
      <c r="H31" s="7"/>
      <c r="J31" s="7"/>
      <c r="L31" s="7"/>
      <c r="N31" s="7"/>
      <c r="P31" s="7"/>
      <c r="R31" s="7"/>
      <c r="Y31" s="29"/>
    </row>
    <row r="32" spans="1:25" ht="9" customHeight="1">
      <c r="A32" s="26" t="e">
        <f>IF(#REF!="","",#REF!)</f>
        <v>#REF!</v>
      </c>
      <c r="B32" s="25" t="e">
        <f>IF(#REF!="","",#REF!)</f>
        <v>#REF!</v>
      </c>
      <c r="D32" s="7"/>
      <c r="F32" s="7"/>
      <c r="H32" s="7"/>
      <c r="J32" s="7"/>
      <c r="L32" s="7"/>
      <c r="N32" s="7"/>
      <c r="P32" s="7"/>
      <c r="R32" s="7"/>
      <c r="Y32" s="29"/>
    </row>
    <row r="33" spans="1:25" ht="21.6" customHeight="1">
      <c r="A33" s="26" t="e">
        <f>IF(#REF!="","",#REF!)</f>
        <v>#REF!</v>
      </c>
      <c r="B33" s="25" t="e">
        <f>IF(#REF!="","",#REF!)</f>
        <v>#REF!</v>
      </c>
      <c r="D33" s="7"/>
      <c r="F33" s="7"/>
      <c r="H33" s="7"/>
      <c r="J33" s="7"/>
      <c r="L33" s="7"/>
      <c r="N33" s="7"/>
      <c r="P33" s="7"/>
      <c r="R33" s="7"/>
      <c r="Y33" s="29"/>
    </row>
    <row r="34" spans="1:25" ht="9" customHeight="1">
      <c r="A34" s="26" t="e">
        <f>IF(#REF!="","",#REF!)</f>
        <v>#REF!</v>
      </c>
      <c r="B34" s="25" t="e">
        <f>IF(#REF!="","",#REF!)</f>
        <v>#REF!</v>
      </c>
      <c r="D34" s="7"/>
      <c r="F34" s="7"/>
      <c r="H34" s="7"/>
      <c r="J34" s="7"/>
      <c r="L34" s="7"/>
      <c r="N34" s="7"/>
      <c r="P34" s="7"/>
      <c r="R34" s="7"/>
      <c r="Y34" s="29"/>
    </row>
    <row r="35" spans="1:25" ht="21.6" customHeight="1">
      <c r="A35" s="26" t="e">
        <f>IF(#REF!="","",#REF!)</f>
        <v>#REF!</v>
      </c>
      <c r="B35" s="25" t="e">
        <f>IF(#REF!="","",#REF!)</f>
        <v>#REF!</v>
      </c>
      <c r="D35" s="7"/>
      <c r="F35" s="7"/>
      <c r="H35" s="7"/>
      <c r="J35" s="7"/>
      <c r="L35" s="7"/>
      <c r="N35" s="7"/>
      <c r="P35" s="7"/>
      <c r="R35" s="7"/>
      <c r="Y35" s="29"/>
    </row>
    <row r="36" spans="1:25" ht="9" customHeight="1">
      <c r="A36" s="26" t="e">
        <f>IF(#REF!="","",#REF!)</f>
        <v>#REF!</v>
      </c>
      <c r="B36" s="25" t="e">
        <f>IF(#REF!="","",#REF!)</f>
        <v>#REF!</v>
      </c>
      <c r="D36" s="7"/>
      <c r="F36" s="7"/>
      <c r="H36" s="7"/>
      <c r="J36" s="7"/>
      <c r="L36" s="7"/>
      <c r="N36" s="7"/>
      <c r="P36" s="7"/>
      <c r="R36" s="7"/>
      <c r="Y36" s="29"/>
    </row>
    <row r="37" spans="1:25" ht="21.6" customHeight="1">
      <c r="A37" s="26" t="e">
        <f>IF(#REF!="","",#REF!)</f>
        <v>#REF!</v>
      </c>
      <c r="B37" s="25" t="e">
        <f>IF(#REF!="","",#REF!)</f>
        <v>#REF!</v>
      </c>
      <c r="D37" s="7"/>
      <c r="F37" s="7"/>
      <c r="H37" s="7"/>
      <c r="J37" s="7"/>
      <c r="L37" s="7"/>
      <c r="N37" s="7"/>
      <c r="P37" s="7"/>
      <c r="R37" s="7"/>
      <c r="Y37" s="29"/>
    </row>
    <row r="38" spans="1:25" ht="9" customHeight="1">
      <c r="A38" s="26" t="e">
        <f>IF(#REF!="","",#REF!)</f>
        <v>#REF!</v>
      </c>
      <c r="B38" s="25" t="e">
        <f>IF(#REF!="","",#REF!)</f>
        <v>#REF!</v>
      </c>
      <c r="D38" s="7"/>
      <c r="F38" s="7"/>
      <c r="H38" s="7"/>
      <c r="J38" s="7"/>
      <c r="L38" s="7"/>
      <c r="N38" s="7"/>
      <c r="P38" s="7"/>
      <c r="R38" s="7"/>
      <c r="Y38" s="29"/>
    </row>
    <row r="39" spans="1:25" ht="21.6" customHeight="1">
      <c r="A39" s="26" t="e">
        <f>IF(#REF!="","",#REF!)</f>
        <v>#REF!</v>
      </c>
      <c r="B39" s="25" t="e">
        <f>IF(#REF!="","",#REF!)</f>
        <v>#REF!</v>
      </c>
      <c r="Y39" s="29"/>
    </row>
    <row r="40" spans="1:25" ht="9" customHeight="1">
      <c r="A40" s="26" t="e">
        <f>IF(#REF!="","",#REF!)</f>
        <v>#REF!</v>
      </c>
      <c r="B40" s="25" t="e">
        <f>IF(#REF!="","",#REF!)</f>
        <v>#REF!</v>
      </c>
      <c r="Y40" s="29"/>
    </row>
    <row r="41" spans="1:25" ht="21.6" customHeight="1">
      <c r="A41" s="26" t="e">
        <f>IF(#REF!="","",#REF!)</f>
        <v>#REF!</v>
      </c>
      <c r="B41" s="25" t="e">
        <f>IF(#REF!="","",#REF!)</f>
        <v>#REF!</v>
      </c>
      <c r="Y41" s="29"/>
    </row>
    <row r="42" spans="1:25" ht="9" customHeight="1">
      <c r="A42" s="26" t="e">
        <f>IF(#REF!="","",#REF!)</f>
        <v>#REF!</v>
      </c>
      <c r="B42" s="25" t="e">
        <f>IF(#REF!="","",#REF!)</f>
        <v>#REF!</v>
      </c>
      <c r="Y42" s="29"/>
    </row>
    <row r="43" spans="1:25" ht="21.6" customHeight="1">
      <c r="A43" s="26" t="e">
        <f>IF(#REF!="","",#REF!)</f>
        <v>#REF!</v>
      </c>
      <c r="B43" s="25" t="e">
        <f>IF(#REF!="","",#REF!)</f>
        <v>#REF!</v>
      </c>
      <c r="Y43" s="29"/>
    </row>
    <row r="44" spans="1:25" ht="9" customHeight="1">
      <c r="A44" s="26" t="e">
        <f>IF(#REF!="","",#REF!)</f>
        <v>#REF!</v>
      </c>
      <c r="B44" s="25" t="e">
        <f>IF(#REF!="","",#REF!)</f>
        <v>#REF!</v>
      </c>
      <c r="Y44" s="30"/>
    </row>
    <row r="45" spans="1:25" ht="21.6" customHeight="1">
      <c r="A45" s="26" t="e">
        <f>IF(#REF!="","",#REF!)</f>
        <v>#REF!</v>
      </c>
      <c r="B45" s="25" t="e">
        <f>IF(#REF!="","",#REF!)</f>
        <v>#REF!</v>
      </c>
      <c r="Y45" s="29"/>
    </row>
    <row r="46" spans="1:25" ht="9" customHeight="1">
      <c r="A46" s="26" t="e">
        <f>IF(#REF!="","",#REF!)</f>
        <v>#REF!</v>
      </c>
      <c r="B46" s="25" t="e">
        <f>IF(#REF!="","",#REF!)</f>
        <v>#REF!</v>
      </c>
      <c r="Y46" s="30"/>
    </row>
    <row r="47" spans="1:25" ht="21.6" customHeight="1">
      <c r="A47" s="26" t="e">
        <f>IF(#REF!="","",#REF!)</f>
        <v>#REF!</v>
      </c>
      <c r="B47" s="25" t="e">
        <f>IF(#REF!="","",#REF!)</f>
        <v>#REF!</v>
      </c>
      <c r="Y47" s="30"/>
    </row>
    <row r="48" spans="1:25" ht="9" customHeight="1">
      <c r="A48" s="26" t="e">
        <f>IF(#REF!="","",#REF!)</f>
        <v>#REF!</v>
      </c>
      <c r="B48" s="25" t="e">
        <f>IF(#REF!="","",#REF!)</f>
        <v>#REF!</v>
      </c>
      <c r="Y48" s="29"/>
    </row>
    <row r="49" spans="1:25" ht="21.6" customHeight="1">
      <c r="A49" s="26" t="e">
        <f>IF(#REF!="","",#REF!)</f>
        <v>#REF!</v>
      </c>
      <c r="B49" s="25" t="e">
        <f>IF(#REF!="","",#REF!)</f>
        <v>#REF!</v>
      </c>
      <c r="Y49" s="29"/>
    </row>
    <row r="50" spans="1:25" ht="9" customHeight="1">
      <c r="A50" s="26" t="e">
        <f>IF(#REF!="","",#REF!)</f>
        <v>#REF!</v>
      </c>
      <c r="B50" s="25" t="e">
        <f>IF(#REF!="","",#REF!)</f>
        <v>#REF!</v>
      </c>
      <c r="D50" s="7"/>
      <c r="F50" s="7"/>
      <c r="H50" s="7"/>
      <c r="J50" s="7"/>
      <c r="L50" s="7"/>
      <c r="N50" s="7"/>
      <c r="P50" s="7"/>
      <c r="R50" s="7"/>
      <c r="Y50" s="29"/>
    </row>
    <row r="51" spans="1:25" ht="21.6" customHeight="1">
      <c r="A51" s="26" t="e">
        <f>IF(#REF!="","",#REF!)</f>
        <v>#REF!</v>
      </c>
      <c r="B51" s="25" t="e">
        <f>IF(#REF!="","",#REF!)</f>
        <v>#REF!</v>
      </c>
      <c r="D51" s="7"/>
      <c r="F51" s="7"/>
      <c r="H51" s="7"/>
      <c r="J51" s="7"/>
      <c r="L51" s="7"/>
      <c r="N51" s="7"/>
      <c r="P51" s="7"/>
      <c r="R51" s="7"/>
      <c r="Y51" s="29"/>
    </row>
    <row r="52" spans="1:25" ht="9" customHeight="1">
      <c r="A52" s="26" t="e">
        <f>IF(#REF!="","",#REF!)</f>
        <v>#REF!</v>
      </c>
      <c r="B52" s="25" t="e">
        <f>IF(#REF!="","",#REF!)</f>
        <v>#REF!</v>
      </c>
      <c r="D52" s="7"/>
      <c r="F52" s="7"/>
      <c r="H52" s="7"/>
      <c r="J52" s="7"/>
      <c r="L52" s="7"/>
      <c r="N52" s="7"/>
      <c r="P52" s="7"/>
      <c r="R52" s="7"/>
      <c r="Y52" s="29"/>
    </row>
    <row r="53" spans="1:25" ht="21.6" customHeight="1">
      <c r="A53" s="26" t="e">
        <f>IF(#REF!="","",#REF!)</f>
        <v>#REF!</v>
      </c>
      <c r="B53" s="25" t="e">
        <f>IF(#REF!="","",#REF!)</f>
        <v>#REF!</v>
      </c>
      <c r="D53" s="7"/>
      <c r="F53" s="7"/>
      <c r="H53" s="7"/>
      <c r="J53" s="7"/>
      <c r="L53" s="7"/>
      <c r="N53" s="7"/>
      <c r="P53" s="7"/>
      <c r="R53" s="7"/>
      <c r="Y53" s="29"/>
    </row>
    <row r="54" spans="1:25" ht="9" customHeight="1">
      <c r="A54" s="26" t="e">
        <f>IF(#REF!="","",#REF!)</f>
        <v>#REF!</v>
      </c>
      <c r="B54" s="25" t="e">
        <f>IF(#REF!="","",#REF!)</f>
        <v>#REF!</v>
      </c>
      <c r="D54" s="7"/>
      <c r="F54" s="7"/>
      <c r="H54" s="7"/>
      <c r="J54" s="7"/>
      <c r="L54" s="7"/>
      <c r="N54" s="7"/>
      <c r="P54" s="7"/>
      <c r="R54" s="7"/>
      <c r="Y54" s="29"/>
    </row>
    <row r="55" spans="1:25" ht="21.6" customHeight="1">
      <c r="A55" s="26" t="e">
        <f>IF(#REF!="","",#REF!)</f>
        <v>#REF!</v>
      </c>
      <c r="B55" s="25" t="e">
        <f>IF(#REF!="","",#REF!)</f>
        <v>#REF!</v>
      </c>
      <c r="D55" s="7"/>
      <c r="F55" s="7"/>
      <c r="H55" s="7"/>
      <c r="J55" s="7"/>
      <c r="L55" s="7"/>
      <c r="N55" s="7"/>
      <c r="P55" s="7"/>
      <c r="R55" s="7"/>
      <c r="Y55" s="30"/>
    </row>
    <row r="56" spans="1:25" ht="9" customHeight="1">
      <c r="A56" s="26" t="e">
        <f>IF(#REF!="","",#REF!)</f>
        <v>#REF!</v>
      </c>
      <c r="B56" s="25" t="e">
        <f>IF(#REF!="","",#REF!)</f>
        <v>#REF!</v>
      </c>
      <c r="D56" s="7"/>
      <c r="F56" s="7"/>
      <c r="H56" s="7"/>
      <c r="J56" s="7"/>
      <c r="L56" s="7"/>
      <c r="N56" s="7"/>
      <c r="P56" s="7"/>
      <c r="R56" s="7"/>
      <c r="Y56" s="29"/>
    </row>
    <row r="57" spans="1:25" ht="21.6" customHeight="1">
      <c r="A57" s="26" t="e">
        <f>IF(#REF!="","",#REF!)</f>
        <v>#REF!</v>
      </c>
      <c r="B57" s="25" t="e">
        <f>IF(#REF!="","",#REF!)</f>
        <v>#REF!</v>
      </c>
      <c r="D57" s="7"/>
      <c r="F57" s="7"/>
      <c r="H57" s="7"/>
      <c r="J57" s="7"/>
      <c r="L57" s="7"/>
      <c r="N57" s="7"/>
      <c r="P57" s="7"/>
      <c r="R57" s="7"/>
      <c r="Y57" s="29"/>
    </row>
    <row r="58" spans="1:25" ht="9" customHeight="1">
      <c r="A58" s="26" t="e">
        <f>IF(#REF!="","",#REF!)</f>
        <v>#REF!</v>
      </c>
      <c r="B58" s="25" t="e">
        <f>IF(#REF!="","",#REF!)</f>
        <v>#REF!</v>
      </c>
      <c r="D58" s="7"/>
      <c r="F58" s="7"/>
      <c r="H58" s="7"/>
      <c r="J58" s="7"/>
      <c r="L58" s="7"/>
      <c r="N58" s="7"/>
      <c r="P58" s="7"/>
      <c r="R58" s="7"/>
      <c r="Y58" s="29"/>
    </row>
    <row r="59" spans="1:25" ht="21.6" customHeight="1">
      <c r="A59" s="26" t="e">
        <f>IF(#REF!="","",#REF!)</f>
        <v>#REF!</v>
      </c>
      <c r="B59" s="25" t="e">
        <f>IF(#REF!="","",#REF!)</f>
        <v>#REF!</v>
      </c>
      <c r="Y59" s="29"/>
    </row>
    <row r="60" spans="1:25" ht="9" customHeight="1">
      <c r="A60" s="26" t="e">
        <f>IF(#REF!="","",#REF!)</f>
        <v>#REF!</v>
      </c>
      <c r="B60" s="25" t="e">
        <f>IF(#REF!="","",#REF!)</f>
        <v>#REF!</v>
      </c>
      <c r="Y60" s="29"/>
    </row>
    <row r="61" spans="1:25" ht="21.6" customHeight="1">
      <c r="A61" s="26" t="e">
        <f>IF(#REF!="","",#REF!)</f>
        <v>#REF!</v>
      </c>
      <c r="B61" s="25" t="e">
        <f>IF(#REF!="","",#REF!)</f>
        <v>#REF!</v>
      </c>
      <c r="Y61" s="29"/>
    </row>
    <row r="62" spans="1:25" ht="9" customHeight="1">
      <c r="A62" s="26" t="e">
        <f>IF(#REF!="","",#REF!)</f>
        <v>#REF!</v>
      </c>
      <c r="B62" s="25" t="e">
        <f>IF(#REF!="","",#REF!)</f>
        <v>#REF!</v>
      </c>
      <c r="Y62" s="29"/>
    </row>
    <row r="63" spans="1:25" ht="21.6" customHeight="1">
      <c r="A63" s="26" t="e">
        <f>IF(#REF!="","",#REF!)</f>
        <v>#REF!</v>
      </c>
      <c r="B63" s="25" t="e">
        <f>IF(#REF!="","",#REF!)</f>
        <v>#REF!</v>
      </c>
      <c r="Y63" s="29"/>
    </row>
    <row r="64" spans="1:25" ht="9" customHeight="1">
      <c r="A64" s="26" t="e">
        <f>IF(#REF!="","",#REF!)</f>
        <v>#REF!</v>
      </c>
      <c r="B64" s="25" t="e">
        <f>IF(#REF!="","",#REF!)</f>
        <v>#REF!</v>
      </c>
      <c r="Y64" s="29"/>
    </row>
    <row r="65" spans="1:25" ht="21.6" customHeight="1">
      <c r="A65" s="26" t="e">
        <f>IF(#REF!="","",#REF!)</f>
        <v>#REF!</v>
      </c>
      <c r="B65" s="25" t="e">
        <f>IF(#REF!="","",#REF!)</f>
        <v>#REF!</v>
      </c>
      <c r="Y65" s="29"/>
    </row>
    <row r="66" spans="1:25" ht="9" customHeight="1">
      <c r="A66" s="26" t="e">
        <f>IF(#REF!="","",#REF!)</f>
        <v>#REF!</v>
      </c>
      <c r="B66" s="25" t="e">
        <f>IF(#REF!="","",#REF!)</f>
        <v>#REF!</v>
      </c>
      <c r="Y66" s="29"/>
    </row>
    <row r="67" spans="1:25" ht="21.6" customHeight="1">
      <c r="A67" s="26" t="e">
        <f>IF(#REF!="","",#REF!)</f>
        <v>#REF!</v>
      </c>
      <c r="B67" s="25" t="e">
        <f>IF(#REF!="","",#REF!)</f>
        <v>#REF!</v>
      </c>
      <c r="Y67" s="29"/>
    </row>
    <row r="68" spans="1:25" ht="9" customHeight="1">
      <c r="A68" s="26" t="e">
        <f>IF(#REF!="","",#REF!)</f>
        <v>#REF!</v>
      </c>
      <c r="B68" s="25" t="e">
        <f>IF(#REF!="","",#REF!)</f>
        <v>#REF!</v>
      </c>
      <c r="Y68" s="29"/>
    </row>
    <row r="69" spans="1:25" ht="21.6" customHeight="1">
      <c r="A69" s="26" t="e">
        <f>IF(#REF!="","",#REF!)</f>
        <v>#REF!</v>
      </c>
      <c r="B69" s="25" t="e">
        <f>IF(#REF!="","",#REF!)</f>
        <v>#REF!</v>
      </c>
      <c r="Y69" s="30" t="e">
        <f>IF($A69="","",LARGE($Y$1:$Y68,1)+1)</f>
        <v>#REF!</v>
      </c>
    </row>
    <row r="70" spans="1:25" ht="9" customHeight="1">
      <c r="A70" s="26" t="e">
        <f>IF(#REF!="","",#REF!)</f>
        <v>#REF!</v>
      </c>
      <c r="B70" s="25" t="e">
        <f>IF(#REF!="","",#REF!)</f>
        <v>#REF!</v>
      </c>
      <c r="D70" s="7"/>
      <c r="F70" s="7"/>
      <c r="H70" s="7"/>
      <c r="J70" s="7"/>
      <c r="L70" s="7"/>
      <c r="N70" s="7"/>
      <c r="P70" s="7"/>
      <c r="R70" s="7"/>
      <c r="Y70" s="29"/>
    </row>
    <row r="71" spans="1:25" ht="21.6" customHeight="1">
      <c r="A71" s="26" t="e">
        <f>IF(#REF!="","",#REF!)</f>
        <v>#REF!</v>
      </c>
      <c r="B71" s="25" t="e">
        <f>IF(#REF!="","",#REF!)</f>
        <v>#REF!</v>
      </c>
      <c r="D71" s="7"/>
      <c r="F71" s="7"/>
      <c r="H71" s="7"/>
      <c r="J71" s="7"/>
      <c r="L71" s="7"/>
      <c r="N71" s="7"/>
      <c r="P71" s="7"/>
      <c r="R71" s="7"/>
      <c r="Y71" s="29"/>
    </row>
    <row r="72" spans="1:25" ht="9" customHeight="1">
      <c r="A72" s="26" t="e">
        <f>IF(#REF!="","",#REF!)</f>
        <v>#REF!</v>
      </c>
      <c r="B72" s="25" t="e">
        <f>IF(#REF!="","",#REF!)</f>
        <v>#REF!</v>
      </c>
      <c r="D72" s="7"/>
      <c r="F72" s="7"/>
      <c r="H72" s="7"/>
      <c r="J72" s="7"/>
      <c r="L72" s="7"/>
      <c r="N72" s="7"/>
      <c r="P72" s="7"/>
      <c r="R72" s="7"/>
      <c r="Y72" s="29"/>
    </row>
    <row r="73" spans="1:25" ht="21.6" customHeight="1">
      <c r="A73" s="26" t="e">
        <f>IF(#REF!="","",#REF!)</f>
        <v>#REF!</v>
      </c>
      <c r="B73" s="25" t="e">
        <f>IF(#REF!="","",#REF!)</f>
        <v>#REF!</v>
      </c>
      <c r="D73" s="7"/>
      <c r="F73" s="7"/>
      <c r="H73" s="7"/>
      <c r="J73" s="7"/>
      <c r="L73" s="7"/>
      <c r="N73" s="7"/>
      <c r="P73" s="7"/>
      <c r="R73" s="7"/>
      <c r="Y73" s="29"/>
    </row>
    <row r="74" spans="1:25" ht="9" customHeight="1">
      <c r="A74" s="26" t="e">
        <f>IF(#REF!="","",#REF!)</f>
        <v>#REF!</v>
      </c>
      <c r="B74" s="25" t="e">
        <f>IF(#REF!="","",#REF!)</f>
        <v>#REF!</v>
      </c>
      <c r="D74" s="7"/>
      <c r="F74" s="7"/>
      <c r="H74" s="7"/>
      <c r="J74" s="7"/>
      <c r="L74" s="7"/>
      <c r="N74" s="7"/>
      <c r="P74" s="7"/>
      <c r="R74" s="7"/>
      <c r="Y74" s="29"/>
    </row>
    <row r="75" spans="1:25" ht="21.6" customHeight="1">
      <c r="A75" s="26" t="e">
        <f>IF(#REF!="","",#REF!)</f>
        <v>#REF!</v>
      </c>
      <c r="B75" s="25" t="e">
        <f>IF(#REF!="","",#REF!)</f>
        <v>#REF!</v>
      </c>
      <c r="D75" s="7"/>
      <c r="F75" s="7"/>
      <c r="H75" s="7"/>
      <c r="J75" s="7"/>
      <c r="L75" s="7"/>
      <c r="N75" s="7"/>
      <c r="P75" s="7"/>
      <c r="R75" s="7"/>
      <c r="Y75" s="29"/>
    </row>
    <row r="76" spans="1:25" ht="9" customHeight="1">
      <c r="A76" s="26" t="e">
        <f>IF(#REF!="","",#REF!)</f>
        <v>#REF!</v>
      </c>
      <c r="B76" s="25" t="e">
        <f>IF(#REF!="","",#REF!)</f>
        <v>#REF!</v>
      </c>
      <c r="D76" s="7"/>
      <c r="F76" s="7"/>
      <c r="H76" s="7"/>
      <c r="J76" s="7"/>
      <c r="L76" s="7"/>
      <c r="N76" s="7"/>
      <c r="P76" s="7"/>
      <c r="R76" s="7"/>
      <c r="Y76" s="29"/>
    </row>
    <row r="77" spans="1:25" ht="21.6" customHeight="1">
      <c r="A77" s="26" t="e">
        <f>IF(#REF!="","",#REF!)</f>
        <v>#REF!</v>
      </c>
      <c r="B77" s="25" t="e">
        <f>IF(#REF!="","",#REF!)</f>
        <v>#REF!</v>
      </c>
      <c r="D77" s="7"/>
      <c r="F77" s="7"/>
      <c r="H77" s="7"/>
      <c r="J77" s="7"/>
      <c r="L77" s="7"/>
      <c r="N77" s="7"/>
      <c r="P77" s="7"/>
      <c r="R77" s="7"/>
      <c r="Y77" s="29"/>
    </row>
    <row r="78" spans="1:25" ht="9" customHeight="1">
      <c r="A78" s="26" t="e">
        <f>IF(#REF!="","",#REF!)</f>
        <v>#REF!</v>
      </c>
      <c r="B78" s="25" t="e">
        <f>IF(#REF!="","",#REF!)</f>
        <v>#REF!</v>
      </c>
      <c r="D78" s="7"/>
      <c r="F78" s="7"/>
      <c r="H78" s="7"/>
      <c r="J78" s="7"/>
      <c r="L78" s="7"/>
      <c r="N78" s="7"/>
      <c r="P78" s="7"/>
      <c r="R78" s="7"/>
      <c r="Y78" s="29"/>
    </row>
    <row r="79" spans="1:25" ht="21.6" customHeight="1">
      <c r="A79" s="26" t="e">
        <f>IF(#REF!="","",#REF!)</f>
        <v>#REF!</v>
      </c>
      <c r="B79" s="25" t="e">
        <f>IF(#REF!="","",#REF!)</f>
        <v>#REF!</v>
      </c>
      <c r="Y79" s="29"/>
    </row>
    <row r="80" spans="1:25" ht="9" customHeight="1">
      <c r="A80" s="26" t="e">
        <f>IF(#REF!="","",#REF!)</f>
        <v>#REF!</v>
      </c>
      <c r="B80" s="25" t="e">
        <f>IF(#REF!="","",#REF!)</f>
        <v>#REF!</v>
      </c>
      <c r="Y80" s="30"/>
    </row>
    <row r="81" spans="1:25" ht="21.6" customHeight="1">
      <c r="A81" s="26" t="e">
        <f>IF(#REF!="","",#REF!)</f>
        <v>#REF!</v>
      </c>
      <c r="B81" s="25" t="e">
        <f>IF(#REF!="","",#REF!)</f>
        <v>#REF!</v>
      </c>
      <c r="Y81" s="29"/>
    </row>
    <row r="82" spans="1:25" ht="9" customHeight="1">
      <c r="A82" s="26" t="e">
        <f>IF(#REF!="","",#REF!)</f>
        <v>#REF!</v>
      </c>
      <c r="B82" s="25" t="e">
        <f>IF(#REF!="","",#REF!)</f>
        <v>#REF!</v>
      </c>
      <c r="Y82" s="29"/>
    </row>
    <row r="83" spans="1:25" ht="21.6" customHeight="1">
      <c r="A83" s="26" t="e">
        <f>IF(#REF!="","",#REF!)</f>
        <v>#REF!</v>
      </c>
      <c r="B83" s="25" t="e">
        <f>IF(#REF!="","",#REF!)</f>
        <v>#REF!</v>
      </c>
      <c r="Y83" s="29"/>
    </row>
    <row r="84" spans="1:25" ht="9" customHeight="1">
      <c r="A84" s="26" t="e">
        <f>IF(#REF!="","",#REF!)</f>
        <v>#REF!</v>
      </c>
      <c r="B84" s="25" t="e">
        <f>IF(#REF!="","",#REF!)</f>
        <v>#REF!</v>
      </c>
      <c r="Y84" s="30"/>
    </row>
    <row r="85" spans="1:25" ht="21.6" customHeight="1">
      <c r="A85" s="26" t="e">
        <f>IF(#REF!="","",#REF!)</f>
        <v>#REF!</v>
      </c>
      <c r="B85" s="25" t="e">
        <f>IF(#REF!="","",#REF!)</f>
        <v>#REF!</v>
      </c>
      <c r="Y85" s="30"/>
    </row>
    <row r="86" spans="1:25" ht="9" customHeight="1">
      <c r="A86" s="26" t="e">
        <f>IF(#REF!="","",#REF!)</f>
        <v>#REF!</v>
      </c>
      <c r="B86" s="25" t="e">
        <f>IF(#REF!="","",#REF!)</f>
        <v>#REF!</v>
      </c>
      <c r="Y86" s="29"/>
    </row>
    <row r="87" spans="1:25" ht="21.6" customHeight="1">
      <c r="A87" s="26" t="e">
        <f>IF(#REF!="","",#REF!)</f>
        <v>#REF!</v>
      </c>
      <c r="B87" s="25" t="e">
        <f>IF(#REF!="","",#REF!)</f>
        <v>#REF!</v>
      </c>
      <c r="Y87" s="29"/>
    </row>
    <row r="88" spans="1:25" ht="9" customHeight="1">
      <c r="A88" s="26" t="e">
        <f>IF(#REF!="","",#REF!)</f>
        <v>#REF!</v>
      </c>
      <c r="B88" s="25" t="e">
        <f>IF(#REF!="","",#REF!)</f>
        <v>#REF!</v>
      </c>
      <c r="Y88" s="29"/>
    </row>
    <row r="89" spans="1:25" ht="21.6" customHeight="1">
      <c r="A89" s="26" t="e">
        <f>IF(#REF!="","",#REF!)</f>
        <v>#REF!</v>
      </c>
      <c r="B89" s="25" t="e">
        <f>IF(#REF!="","",#REF!)</f>
        <v>#REF!</v>
      </c>
      <c r="Y89" s="29"/>
    </row>
    <row r="90" spans="1:25" ht="9" customHeight="1">
      <c r="A90" s="26" t="e">
        <f>IF(#REF!="","",#REF!)</f>
        <v>#REF!</v>
      </c>
      <c r="B90" s="25" t="e">
        <f>IF(#REF!="","",#REF!)</f>
        <v>#REF!</v>
      </c>
      <c r="D90" s="7"/>
      <c r="F90" s="7"/>
      <c r="H90" s="7"/>
      <c r="J90" s="7"/>
      <c r="L90" s="7"/>
      <c r="N90" s="7"/>
      <c r="P90" s="7"/>
      <c r="R90" s="7"/>
      <c r="Y90" s="29"/>
    </row>
    <row r="91" spans="1:25" ht="21.6" customHeight="1">
      <c r="A91" s="26" t="e">
        <f>IF(#REF!="","",#REF!)</f>
        <v>#REF!</v>
      </c>
      <c r="B91" s="25" t="e">
        <f>IF(#REF!="","",#REF!)</f>
        <v>#REF!</v>
      </c>
      <c r="D91" s="7"/>
      <c r="F91" s="7"/>
      <c r="H91" s="7"/>
      <c r="J91" s="7"/>
      <c r="L91" s="7"/>
      <c r="N91" s="7"/>
      <c r="P91" s="7"/>
      <c r="R91" s="7"/>
      <c r="Y91" s="29"/>
    </row>
    <row r="92" spans="1:25" ht="9" customHeight="1">
      <c r="A92" s="26" t="e">
        <f>IF(#REF!="","",#REF!)</f>
        <v>#REF!</v>
      </c>
      <c r="B92" s="25" t="e">
        <f>IF(#REF!="","",#REF!)</f>
        <v>#REF!</v>
      </c>
      <c r="D92" s="7"/>
      <c r="F92" s="7"/>
      <c r="H92" s="7"/>
      <c r="J92" s="7"/>
      <c r="L92" s="7"/>
      <c r="N92" s="7"/>
      <c r="P92" s="7"/>
      <c r="R92" s="7"/>
      <c r="Y92" s="29"/>
    </row>
    <row r="93" spans="1:25" ht="21.6" customHeight="1">
      <c r="A93" s="26" t="e">
        <f>IF(#REF!="","",#REF!)</f>
        <v>#REF!</v>
      </c>
      <c r="B93" s="25" t="e">
        <f>IF(#REF!="","",#REF!)</f>
        <v>#REF!</v>
      </c>
      <c r="D93" s="7"/>
      <c r="F93" s="7"/>
      <c r="H93" s="7"/>
      <c r="J93" s="7"/>
      <c r="L93" s="7"/>
      <c r="N93" s="7"/>
      <c r="P93" s="7"/>
      <c r="R93" s="7"/>
      <c r="Y93" s="29"/>
    </row>
    <row r="94" spans="1:25" ht="9" customHeight="1">
      <c r="A94" s="26" t="e">
        <f>IF(#REF!="","",#REF!)</f>
        <v>#REF!</v>
      </c>
      <c r="B94" s="25" t="e">
        <f>IF(#REF!="","",#REF!)</f>
        <v>#REF!</v>
      </c>
      <c r="D94" s="7"/>
      <c r="F94" s="7"/>
      <c r="H94" s="7"/>
      <c r="J94" s="7"/>
      <c r="L94" s="7"/>
      <c r="N94" s="7"/>
      <c r="P94" s="7"/>
      <c r="R94" s="7"/>
      <c r="Y94" s="29"/>
    </row>
    <row r="95" spans="1:25" ht="21.6" customHeight="1">
      <c r="A95" s="26" t="e">
        <f>IF(#REF!="","",#REF!)</f>
        <v>#REF!</v>
      </c>
      <c r="B95" s="25" t="e">
        <f>IF(#REF!="","",#REF!)</f>
        <v>#REF!</v>
      </c>
      <c r="D95" s="7"/>
      <c r="F95" s="7"/>
      <c r="H95" s="7"/>
      <c r="J95" s="7"/>
      <c r="L95" s="7"/>
      <c r="N95" s="7"/>
      <c r="P95" s="7"/>
      <c r="R95" s="7"/>
      <c r="Y95" s="29"/>
    </row>
    <row r="96" spans="1:25" ht="9" customHeight="1">
      <c r="A96" s="26" t="e">
        <f>IF(#REF!="","",#REF!)</f>
        <v>#REF!</v>
      </c>
      <c r="B96" s="25" t="e">
        <f>IF(#REF!="","",#REF!)</f>
        <v>#REF!</v>
      </c>
      <c r="D96" s="7"/>
      <c r="F96" s="7"/>
      <c r="H96" s="7"/>
      <c r="J96" s="7"/>
      <c r="L96" s="7"/>
      <c r="N96" s="7"/>
      <c r="P96" s="7"/>
      <c r="R96" s="7"/>
      <c r="Y96" s="29"/>
    </row>
    <row r="97" spans="1:25" ht="21.6" customHeight="1">
      <c r="A97" s="26" t="e">
        <f>IF(#REF!="","",#REF!)</f>
        <v>#REF!</v>
      </c>
      <c r="B97" s="25" t="e">
        <f>IF(#REF!="","",#REF!)</f>
        <v>#REF!</v>
      </c>
      <c r="D97" s="7"/>
      <c r="F97" s="7"/>
      <c r="H97" s="7"/>
      <c r="J97" s="7"/>
      <c r="L97" s="7"/>
      <c r="N97" s="7"/>
      <c r="P97" s="7"/>
      <c r="R97" s="7"/>
      <c r="Y97" s="29"/>
    </row>
    <row r="98" spans="1:25" ht="9" customHeight="1">
      <c r="A98" s="26" t="e">
        <f>IF(#REF!="","",#REF!)</f>
        <v>#REF!</v>
      </c>
      <c r="B98" s="25" t="e">
        <f>IF(#REF!="","",#REF!)</f>
        <v>#REF!</v>
      </c>
      <c r="D98" s="7"/>
      <c r="F98" s="7"/>
      <c r="H98" s="7"/>
      <c r="J98" s="7"/>
      <c r="L98" s="7"/>
      <c r="N98" s="7"/>
      <c r="P98" s="7"/>
      <c r="R98" s="7"/>
      <c r="Y98" s="29"/>
    </row>
    <row r="99" spans="1:25" ht="21.6" customHeight="1">
      <c r="A99" s="26" t="e">
        <f>IF(#REF!="","",#REF!)</f>
        <v>#REF!</v>
      </c>
      <c r="B99" s="25" t="e">
        <f>IF(#REF!="","",#REF!)</f>
        <v>#REF!</v>
      </c>
      <c r="Y99" s="29"/>
    </row>
    <row r="100" spans="1:25" ht="9" customHeight="1">
      <c r="A100" s="26" t="e">
        <f>IF(#REF!="","",#REF!)</f>
        <v>#REF!</v>
      </c>
      <c r="B100" s="25" t="e">
        <f>IF(#REF!="","",#REF!)</f>
        <v>#REF!</v>
      </c>
      <c r="Y100" s="29"/>
    </row>
    <row r="101" spans="1:25" ht="21.6" customHeight="1">
      <c r="A101" s="26" t="e">
        <f>IF(#REF!="","",#REF!)</f>
        <v>#REF!</v>
      </c>
      <c r="B101" s="25" t="e">
        <f>IF(#REF!="","",#REF!)</f>
        <v>#REF!</v>
      </c>
      <c r="Y101" s="30"/>
    </row>
    <row r="102" spans="1:25" ht="9" customHeight="1">
      <c r="A102" s="26" t="e">
        <f>IF(#REF!="","",#REF!)</f>
        <v>#REF!</v>
      </c>
      <c r="B102" s="25" t="e">
        <f>IF(#REF!="","",#REF!)</f>
        <v>#REF!</v>
      </c>
      <c r="Y102" s="29"/>
    </row>
    <row r="103" spans="1:25" ht="21.6" customHeight="1">
      <c r="A103" s="26" t="e">
        <f>IF(#REF!="","",#REF!)</f>
        <v>#REF!</v>
      </c>
      <c r="B103" s="25" t="e">
        <f>IF(#REF!="","",#REF!)</f>
        <v>#REF!</v>
      </c>
      <c r="Y103" s="29"/>
    </row>
    <row r="104" spans="1:25" ht="9" customHeight="1">
      <c r="A104" s="26" t="e">
        <f>IF(#REF!="","",#REF!)</f>
        <v>#REF!</v>
      </c>
      <c r="B104" s="25" t="e">
        <f>IF(#REF!="","",#REF!)</f>
        <v>#REF!</v>
      </c>
      <c r="Y104" s="29"/>
    </row>
    <row r="105" spans="1:25" ht="21.6" customHeight="1">
      <c r="A105" s="26" t="e">
        <f>IF(#REF!="","",#REF!)</f>
        <v>#REF!</v>
      </c>
      <c r="B105" s="25" t="e">
        <f>IF(#REF!="","",#REF!)</f>
        <v>#REF!</v>
      </c>
      <c r="Y105" s="29"/>
    </row>
    <row r="106" spans="1:25" ht="9" customHeight="1">
      <c r="A106" s="26" t="e">
        <f>IF(#REF!="","",#REF!)</f>
        <v>#REF!</v>
      </c>
      <c r="B106" s="25" t="e">
        <f>IF(#REF!="","",#REF!)</f>
        <v>#REF!</v>
      </c>
      <c r="Y106" s="29"/>
    </row>
    <row r="107" spans="1:25" ht="21.6" customHeight="1">
      <c r="A107" s="26" t="e">
        <f>IF(#REF!="","",#REF!)</f>
        <v>#REF!</v>
      </c>
      <c r="B107" s="25" t="e">
        <f>IF(#REF!="","",#REF!)</f>
        <v>#REF!</v>
      </c>
      <c r="Y107" s="29"/>
    </row>
    <row r="108" spans="1:25" ht="9" customHeight="1">
      <c r="A108" s="26" t="e">
        <f>IF(#REF!="","",#REF!)</f>
        <v>#REF!</v>
      </c>
      <c r="B108" s="25" t="e">
        <f>IF(#REF!="","",#REF!)</f>
        <v>#REF!</v>
      </c>
      <c r="Y108" s="29"/>
    </row>
    <row r="109" spans="1:25" ht="21.6" customHeight="1">
      <c r="A109" s="26" t="e">
        <f>IF(#REF!="","",#REF!)</f>
        <v>#REF!</v>
      </c>
      <c r="B109" s="25" t="e">
        <f>IF(#REF!="","",#REF!)</f>
        <v>#REF!</v>
      </c>
      <c r="Y109" s="29"/>
    </row>
    <row r="110" spans="1:25" ht="9" customHeight="1">
      <c r="A110" s="26" t="e">
        <f>IF(#REF!="","",#REF!)</f>
        <v>#REF!</v>
      </c>
      <c r="B110" s="25" t="e">
        <f>IF(#REF!="","",#REF!)</f>
        <v>#REF!</v>
      </c>
      <c r="D110" s="7"/>
      <c r="F110" s="7"/>
      <c r="H110" s="7"/>
      <c r="J110" s="7"/>
      <c r="L110" s="7"/>
      <c r="N110" s="7"/>
      <c r="P110" s="7"/>
      <c r="R110" s="7"/>
      <c r="Y110" s="29"/>
    </row>
    <row r="111" spans="1:25" ht="21.6" customHeight="1">
      <c r="A111" s="26" t="e">
        <f>IF(#REF!="","",#REF!)</f>
        <v>#REF!</v>
      </c>
      <c r="B111" s="25" t="e">
        <f>IF(#REF!="","",#REF!)</f>
        <v>#REF!</v>
      </c>
      <c r="D111" s="7"/>
      <c r="F111" s="7"/>
      <c r="H111" s="7"/>
      <c r="J111" s="7"/>
      <c r="L111" s="7"/>
      <c r="N111" s="7"/>
      <c r="P111" s="7"/>
      <c r="R111" s="7"/>
      <c r="Y111" s="29"/>
    </row>
    <row r="112" spans="1:25" ht="9" customHeight="1">
      <c r="A112" s="26" t="e">
        <f>IF(#REF!="","",#REF!)</f>
        <v>#REF!</v>
      </c>
      <c r="B112" s="25" t="e">
        <f>IF(#REF!="","",#REF!)</f>
        <v>#REF!</v>
      </c>
      <c r="D112" s="7"/>
      <c r="F112" s="7"/>
      <c r="H112" s="7"/>
      <c r="J112" s="7"/>
      <c r="L112" s="7"/>
      <c r="N112" s="7"/>
      <c r="P112" s="7"/>
      <c r="R112" s="7"/>
      <c r="Y112" s="29"/>
    </row>
    <row r="113" spans="1:25" ht="21.6" customHeight="1">
      <c r="A113" s="26" t="e">
        <f>IF(#REF!="","",#REF!)</f>
        <v>#REF!</v>
      </c>
      <c r="B113" s="25" t="e">
        <f>IF(#REF!="","",#REF!)</f>
        <v>#REF!</v>
      </c>
      <c r="D113" s="7"/>
      <c r="F113" s="7"/>
      <c r="H113" s="7"/>
      <c r="J113" s="7"/>
      <c r="L113" s="7"/>
      <c r="N113" s="7"/>
      <c r="P113" s="7"/>
      <c r="R113" s="7"/>
      <c r="Y113" s="29"/>
    </row>
    <row r="114" spans="1:25" ht="9" customHeight="1">
      <c r="A114" s="26" t="e">
        <f>IF(#REF!="","",#REF!)</f>
        <v>#REF!</v>
      </c>
      <c r="B114" s="25" t="e">
        <f>IF(#REF!="","",#REF!)</f>
        <v>#REF!</v>
      </c>
      <c r="D114" s="7"/>
      <c r="F114" s="7"/>
      <c r="H114" s="7"/>
      <c r="J114" s="7"/>
      <c r="L114" s="7"/>
      <c r="N114" s="7"/>
      <c r="P114" s="7"/>
      <c r="R114" s="7"/>
      <c r="Y114" s="29"/>
    </row>
    <row r="115" spans="1:25" ht="21.6" customHeight="1">
      <c r="A115" s="26" t="e">
        <f>IF(#REF!="","",#REF!)</f>
        <v>#REF!</v>
      </c>
      <c r="B115" s="25" t="e">
        <f>IF(#REF!="","",#REF!)</f>
        <v>#REF!</v>
      </c>
      <c r="D115" s="7"/>
      <c r="F115" s="7"/>
      <c r="H115" s="7"/>
      <c r="J115" s="7"/>
      <c r="L115" s="7"/>
      <c r="N115" s="7"/>
      <c r="P115" s="7"/>
      <c r="R115" s="7"/>
      <c r="Y115" s="29"/>
    </row>
    <row r="116" spans="1:25" ht="9" customHeight="1">
      <c r="A116" s="26" t="e">
        <f>IF(#REF!="","",#REF!)</f>
        <v>#REF!</v>
      </c>
      <c r="B116" s="25" t="e">
        <f>IF(#REF!="","",#REF!)</f>
        <v>#REF!</v>
      </c>
      <c r="D116" s="7"/>
      <c r="F116" s="7"/>
      <c r="H116" s="7"/>
      <c r="J116" s="7"/>
      <c r="L116" s="7"/>
      <c r="N116" s="7"/>
      <c r="P116" s="7"/>
      <c r="R116" s="7"/>
      <c r="Y116" s="30"/>
    </row>
    <row r="117" spans="1:25" ht="21.6" customHeight="1">
      <c r="A117" s="26" t="e">
        <f>IF(#REF!="","",#REF!)</f>
        <v>#REF!</v>
      </c>
      <c r="B117" s="25" t="e">
        <f>IF(#REF!="","",#REF!)</f>
        <v>#REF!</v>
      </c>
      <c r="D117" s="7"/>
      <c r="F117" s="7"/>
      <c r="H117" s="7"/>
      <c r="J117" s="7"/>
      <c r="L117" s="7"/>
      <c r="N117" s="7"/>
      <c r="P117" s="7"/>
      <c r="R117" s="7"/>
      <c r="Y117" s="29"/>
    </row>
    <row r="118" spans="1:25" ht="9" customHeight="1">
      <c r="A118" s="26" t="e">
        <f>IF(#REF!="","",#REF!)</f>
        <v>#REF!</v>
      </c>
      <c r="B118" s="25" t="e">
        <f>IF(#REF!="","",#REF!)</f>
        <v>#REF!</v>
      </c>
      <c r="D118" s="7"/>
      <c r="F118" s="7"/>
      <c r="H118" s="7"/>
      <c r="J118" s="7"/>
      <c r="L118" s="7"/>
      <c r="N118" s="7"/>
      <c r="P118" s="7"/>
      <c r="R118" s="7"/>
      <c r="Y118" s="29"/>
    </row>
    <row r="119" spans="1:25" ht="21.6" customHeight="1">
      <c r="A119" s="26" t="e">
        <f>IF(#REF!="","",#REF!)</f>
        <v>#REF!</v>
      </c>
      <c r="B119" s="25" t="e">
        <f>IF(#REF!="","",#REF!)</f>
        <v>#REF!</v>
      </c>
      <c r="Y119" s="29"/>
    </row>
    <row r="120" spans="1:25" ht="9" customHeight="1">
      <c r="A120" s="26" t="e">
        <f>IF(#REF!="","",#REF!)</f>
        <v>#REF!</v>
      </c>
      <c r="B120" s="25" t="e">
        <f>IF(#REF!="","",#REF!)</f>
        <v>#REF!</v>
      </c>
      <c r="Y120" s="29"/>
    </row>
    <row r="121" spans="1:25" ht="21.6" customHeight="1">
      <c r="A121" s="26" t="e">
        <f>IF(#REF!="","",#REF!)</f>
        <v>#REF!</v>
      </c>
      <c r="B121" s="25" t="e">
        <f>IF(#REF!="","",#REF!)</f>
        <v>#REF!</v>
      </c>
      <c r="Y121" s="29"/>
    </row>
    <row r="122" spans="1:25" ht="9" customHeight="1">
      <c r="A122" s="26" t="e">
        <f>IF(#REF!="","",#REF!)</f>
        <v>#REF!</v>
      </c>
      <c r="B122" s="25" t="e">
        <f>IF(#REF!="","",#REF!)</f>
        <v>#REF!</v>
      </c>
      <c r="Y122" s="30"/>
    </row>
    <row r="123" spans="1:25" ht="21.6" customHeight="1">
      <c r="A123" s="26" t="e">
        <f>IF(#REF!="","",#REF!)</f>
        <v>#REF!</v>
      </c>
      <c r="B123" s="25" t="e">
        <f>IF(#REF!="","",#REF!)</f>
        <v>#REF!</v>
      </c>
      <c r="Y123" s="30"/>
    </row>
    <row r="124" spans="1:25" ht="9" customHeight="1">
      <c r="A124" s="26" t="e">
        <f>IF(#REF!="","",#REF!)</f>
        <v>#REF!</v>
      </c>
      <c r="B124" s="25" t="e">
        <f>IF(#REF!="","",#REF!)</f>
        <v>#REF!</v>
      </c>
      <c r="Y124" s="29"/>
    </row>
    <row r="125" spans="1:25" ht="21.6" customHeight="1">
      <c r="A125" s="26" t="e">
        <f>IF(#REF!="","",#REF!)</f>
        <v>#REF!</v>
      </c>
      <c r="B125" s="25" t="e">
        <f>IF(#REF!="","",#REF!)</f>
        <v>#REF!</v>
      </c>
      <c r="Y125" s="29"/>
    </row>
    <row r="126" spans="1:25" ht="9" customHeight="1">
      <c r="A126" s="26" t="e">
        <f>IF(#REF!="","",#REF!)</f>
        <v>#REF!</v>
      </c>
      <c r="B126" s="25" t="e">
        <f>IF(#REF!="","",#REF!)</f>
        <v>#REF!</v>
      </c>
      <c r="Y126" s="29"/>
    </row>
    <row r="127" spans="1:25" ht="21.6" customHeight="1">
      <c r="A127" s="26" t="e">
        <f>IF(#REF!="","",#REF!)</f>
        <v>#REF!</v>
      </c>
      <c r="B127" s="25" t="e">
        <f>IF(#REF!="","",#REF!)</f>
        <v>#REF!</v>
      </c>
      <c r="Y127" s="29"/>
    </row>
    <row r="128" spans="1:25" ht="9" customHeight="1">
      <c r="A128" s="26" t="e">
        <f>IF(#REF!="","",#REF!)</f>
        <v>#REF!</v>
      </c>
      <c r="B128" s="25" t="e">
        <f>IF(#REF!="","",#REF!)</f>
        <v>#REF!</v>
      </c>
      <c r="Y128" s="29"/>
    </row>
    <row r="129" spans="1:25" ht="21.6" customHeight="1">
      <c r="A129" s="26" t="e">
        <f>IF(#REF!="","",#REF!)</f>
        <v>#REF!</v>
      </c>
      <c r="B129" s="25" t="e">
        <f>IF(#REF!="","",#REF!)</f>
        <v>#REF!</v>
      </c>
      <c r="Y129" s="30" t="e">
        <f>IF($A129="","",LARGE($Y$1:$Y128,1)+1)</f>
        <v>#REF!</v>
      </c>
    </row>
    <row r="130" spans="1:25" ht="9" customHeight="1">
      <c r="A130" s="26" t="e">
        <f>IF(#REF!="","",#REF!)</f>
        <v>#REF!</v>
      </c>
      <c r="B130" s="25" t="e">
        <f>IF(#REF!="","",#REF!)</f>
        <v>#REF!</v>
      </c>
      <c r="D130" s="7"/>
      <c r="F130" s="7"/>
      <c r="H130" s="7"/>
      <c r="J130" s="7"/>
      <c r="L130" s="7"/>
      <c r="N130" s="7"/>
      <c r="P130" s="7"/>
      <c r="R130" s="7"/>
      <c r="Y130" s="29"/>
    </row>
    <row r="131" spans="1:25" ht="21.6" customHeight="1">
      <c r="A131" s="26" t="e">
        <f>IF(#REF!="","",#REF!)</f>
        <v>#REF!</v>
      </c>
      <c r="B131" s="25" t="e">
        <f>IF(#REF!="","",#REF!)</f>
        <v>#REF!</v>
      </c>
      <c r="D131" s="7"/>
      <c r="F131" s="7"/>
      <c r="H131" s="7"/>
      <c r="J131" s="7"/>
      <c r="L131" s="7"/>
      <c r="N131" s="7"/>
      <c r="P131" s="7"/>
      <c r="R131" s="7"/>
      <c r="Y131" s="29"/>
    </row>
    <row r="132" spans="1:25" ht="9" customHeight="1">
      <c r="A132" s="26" t="e">
        <f>IF(#REF!="","",#REF!)</f>
        <v>#REF!</v>
      </c>
      <c r="B132" s="25" t="e">
        <f>IF(#REF!="","",#REF!)</f>
        <v>#REF!</v>
      </c>
      <c r="D132" s="7"/>
      <c r="F132" s="7"/>
      <c r="H132" s="7"/>
      <c r="J132" s="7"/>
      <c r="L132" s="7"/>
      <c r="N132" s="7"/>
      <c r="P132" s="7"/>
      <c r="R132" s="7"/>
      <c r="Y132" s="29"/>
    </row>
    <row r="133" spans="1:25" ht="21.6" customHeight="1">
      <c r="A133" s="26" t="e">
        <f>IF(#REF!="","",#REF!)</f>
        <v>#REF!</v>
      </c>
      <c r="B133" s="25" t="e">
        <f>IF(#REF!="","",#REF!)</f>
        <v>#REF!</v>
      </c>
      <c r="D133" s="7"/>
      <c r="F133" s="7"/>
      <c r="H133" s="7"/>
      <c r="J133" s="7"/>
      <c r="L133" s="7"/>
      <c r="N133" s="7"/>
      <c r="P133" s="7"/>
      <c r="R133" s="7"/>
      <c r="Y133" s="29"/>
    </row>
    <row r="134" spans="1:25" ht="9" customHeight="1">
      <c r="A134" s="26" t="e">
        <f>IF(#REF!="","",#REF!)</f>
        <v>#REF!</v>
      </c>
      <c r="B134" s="25" t="e">
        <f>IF(#REF!="","",#REF!)</f>
        <v>#REF!</v>
      </c>
      <c r="D134" s="7"/>
      <c r="F134" s="7"/>
      <c r="H134" s="7"/>
      <c r="J134" s="7"/>
      <c r="L134" s="7"/>
      <c r="N134" s="7"/>
      <c r="P134" s="7"/>
      <c r="R134" s="7"/>
      <c r="Y134" s="29"/>
    </row>
    <row r="135" spans="1:25" ht="21.6" customHeight="1">
      <c r="A135" s="26" t="e">
        <f>IF(#REF!="","",#REF!)</f>
        <v>#REF!</v>
      </c>
      <c r="B135" s="25" t="e">
        <f>IF(#REF!="","",#REF!)</f>
        <v>#REF!</v>
      </c>
      <c r="D135" s="7"/>
      <c r="F135" s="7"/>
      <c r="H135" s="7"/>
      <c r="J135" s="7"/>
      <c r="L135" s="7"/>
      <c r="N135" s="7"/>
      <c r="P135" s="7"/>
      <c r="R135" s="7"/>
      <c r="Y135" s="29"/>
    </row>
    <row r="136" spans="1:25" ht="9" customHeight="1">
      <c r="A136" s="26" t="e">
        <f>IF(#REF!="","",#REF!)</f>
        <v>#REF!</v>
      </c>
      <c r="B136" s="25" t="e">
        <f>IF(#REF!="","",#REF!)</f>
        <v>#REF!</v>
      </c>
      <c r="D136" s="7"/>
      <c r="F136" s="7"/>
      <c r="H136" s="7"/>
      <c r="J136" s="7"/>
      <c r="L136" s="7"/>
      <c r="N136" s="7"/>
      <c r="P136" s="7"/>
      <c r="R136" s="7"/>
      <c r="Y136" s="29"/>
    </row>
    <row r="137" spans="1:25" ht="21.6" customHeight="1">
      <c r="A137" s="26" t="e">
        <f>IF(#REF!="","",#REF!)</f>
        <v>#REF!</v>
      </c>
      <c r="B137" s="25" t="e">
        <f>IF(#REF!="","",#REF!)</f>
        <v>#REF!</v>
      </c>
      <c r="D137" s="7"/>
      <c r="F137" s="7"/>
      <c r="H137" s="7"/>
      <c r="J137" s="7"/>
      <c r="L137" s="7"/>
      <c r="N137" s="7"/>
      <c r="P137" s="7"/>
      <c r="R137" s="7"/>
      <c r="Y137" s="29"/>
    </row>
    <row r="138" spans="1:25" ht="9" customHeight="1">
      <c r="A138" s="26" t="e">
        <f>IF(#REF!="","",#REF!)</f>
        <v>#REF!</v>
      </c>
      <c r="B138" s="25" t="e">
        <f>IF(#REF!="","",#REF!)</f>
        <v>#REF!</v>
      </c>
      <c r="D138" s="7"/>
      <c r="F138" s="7"/>
      <c r="H138" s="7"/>
      <c r="J138" s="7"/>
      <c r="L138" s="7"/>
      <c r="N138" s="7"/>
      <c r="P138" s="7"/>
      <c r="R138" s="7"/>
      <c r="Y138" s="29"/>
    </row>
    <row r="139" spans="1:25" ht="21.6" customHeight="1">
      <c r="A139" s="26" t="e">
        <f>IF(#REF!="","",#REF!)</f>
        <v>#REF!</v>
      </c>
      <c r="B139" s="25" t="e">
        <f>IF(#REF!="","",#REF!)</f>
        <v>#REF!</v>
      </c>
      <c r="Y139" s="29"/>
    </row>
    <row r="140" spans="1:25" ht="9" customHeight="1">
      <c r="A140" s="26" t="e">
        <f>IF(#REF!="","",#REF!)</f>
        <v>#REF!</v>
      </c>
      <c r="B140" s="25" t="e">
        <f>IF(#REF!="","",#REF!)</f>
        <v>#REF!</v>
      </c>
      <c r="Y140" s="29"/>
    </row>
    <row r="141" spans="1:25" ht="21.6" customHeight="1">
      <c r="A141" s="26" t="e">
        <f>IF(#REF!="","",#REF!)</f>
        <v>#REF!</v>
      </c>
      <c r="B141" s="25" t="e">
        <f>IF(#REF!="","",#REF!)</f>
        <v>#REF!</v>
      </c>
      <c r="Y141" s="29"/>
    </row>
    <row r="142" spans="1:25" ht="9" customHeight="1">
      <c r="A142" s="26" t="e">
        <f>IF(#REF!="","",#REF!)</f>
        <v>#REF!</v>
      </c>
      <c r="B142" s="25" t="e">
        <f>IF(#REF!="","",#REF!)</f>
        <v>#REF!</v>
      </c>
      <c r="Y142" s="29"/>
    </row>
    <row r="143" spans="1:25" ht="21.6" customHeight="1">
      <c r="A143" s="26" t="e">
        <f>IF(#REF!="","",#REF!)</f>
        <v>#REF!</v>
      </c>
      <c r="B143" s="25" t="e">
        <f>IF(#REF!="","",#REF!)</f>
        <v>#REF!</v>
      </c>
      <c r="Y143" s="29"/>
    </row>
    <row r="144" spans="1:25" ht="9" customHeight="1">
      <c r="A144" s="26" t="e">
        <f>IF(#REF!="","",#REF!)</f>
        <v>#REF!</v>
      </c>
      <c r="B144" s="25" t="e">
        <f>IF(#REF!="","",#REF!)</f>
        <v>#REF!</v>
      </c>
      <c r="Y144" s="29"/>
    </row>
    <row r="145" spans="1:25" ht="21.6" customHeight="1">
      <c r="A145" s="26" t="e">
        <f>IF(#REF!="","",#REF!)</f>
        <v>#REF!</v>
      </c>
      <c r="B145" s="25" t="e">
        <f>IF(#REF!="","",#REF!)</f>
        <v>#REF!</v>
      </c>
      <c r="Y145" s="29"/>
    </row>
    <row r="146" spans="1:25" ht="9" customHeight="1">
      <c r="A146" s="26" t="e">
        <f>IF(#REF!="","",#REF!)</f>
        <v>#REF!</v>
      </c>
      <c r="B146" s="25" t="e">
        <f>IF(#REF!="","",#REF!)</f>
        <v>#REF!</v>
      </c>
      <c r="Y146" s="29"/>
    </row>
    <row r="147" spans="1:25" ht="21.6" customHeight="1">
      <c r="A147" s="26" t="e">
        <f>IF(#REF!="","",#REF!)</f>
        <v>#REF!</v>
      </c>
      <c r="B147" s="25" t="e">
        <f>IF(#REF!="","",#REF!)</f>
        <v>#REF!</v>
      </c>
      <c r="Y147" s="30"/>
    </row>
    <row r="148" spans="1:25" ht="9" customHeight="1">
      <c r="A148" s="26" t="e">
        <f>IF(#REF!="","",#REF!)</f>
        <v>#REF!</v>
      </c>
      <c r="B148" s="25" t="e">
        <f>IF(#REF!="","",#REF!)</f>
        <v>#REF!</v>
      </c>
      <c r="Y148" s="29"/>
    </row>
    <row r="149" spans="1:25" ht="21.6" customHeight="1">
      <c r="A149" s="26" t="e">
        <f>IF(#REF!="","",#REF!)</f>
        <v>#REF!</v>
      </c>
      <c r="B149" s="25" t="e">
        <f>IF(#REF!="","",#REF!)</f>
        <v>#REF!</v>
      </c>
      <c r="Y149" s="29"/>
    </row>
    <row r="150" spans="1:25" ht="9" customHeight="1">
      <c r="A150" s="26" t="e">
        <f>IF(#REF!="","",#REF!)</f>
        <v>#REF!</v>
      </c>
      <c r="B150" s="25" t="e">
        <f>IF(#REF!="","",#REF!)</f>
        <v>#REF!</v>
      </c>
      <c r="D150" s="7"/>
      <c r="F150" s="7"/>
      <c r="H150" s="7"/>
      <c r="J150" s="7"/>
      <c r="L150" s="7"/>
      <c r="N150" s="7"/>
      <c r="P150" s="7"/>
      <c r="R150" s="7"/>
      <c r="Y150" s="29"/>
    </row>
    <row r="151" spans="1:25" ht="21.6" customHeight="1">
      <c r="A151" s="26" t="e">
        <f>IF(#REF!="","",#REF!)</f>
        <v>#REF!</v>
      </c>
      <c r="B151" s="25" t="e">
        <f>IF(#REF!="","",#REF!)</f>
        <v>#REF!</v>
      </c>
      <c r="D151" s="7"/>
      <c r="F151" s="7"/>
      <c r="H151" s="7"/>
      <c r="J151" s="7"/>
      <c r="L151" s="7"/>
      <c r="N151" s="7"/>
      <c r="P151" s="7"/>
      <c r="R151" s="7"/>
      <c r="Y151" s="29"/>
    </row>
    <row r="152" spans="1:25" ht="9" customHeight="1">
      <c r="A152" s="26" t="e">
        <f>IF(#REF!="","",#REF!)</f>
        <v>#REF!</v>
      </c>
      <c r="B152" s="25" t="e">
        <f>IF(#REF!="","",#REF!)</f>
        <v>#REF!</v>
      </c>
      <c r="D152" s="7"/>
      <c r="F152" s="7"/>
      <c r="H152" s="7"/>
      <c r="J152" s="7"/>
      <c r="L152" s="7"/>
      <c r="N152" s="7"/>
      <c r="P152" s="7"/>
      <c r="R152" s="7"/>
      <c r="Y152" s="30"/>
    </row>
    <row r="153" spans="1:25" ht="21.6" customHeight="1">
      <c r="A153" s="26" t="e">
        <f>IF(#REF!="","",#REF!)</f>
        <v>#REF!</v>
      </c>
      <c r="B153" s="25" t="e">
        <f>IF(#REF!="","",#REF!)</f>
        <v>#REF!</v>
      </c>
      <c r="D153" s="7"/>
      <c r="F153" s="7"/>
      <c r="H153" s="7"/>
      <c r="J153" s="7"/>
      <c r="L153" s="7"/>
      <c r="N153" s="7"/>
      <c r="P153" s="7"/>
      <c r="R153" s="7"/>
      <c r="Y153" s="29"/>
    </row>
    <row r="154" spans="1:25" ht="9" customHeight="1">
      <c r="A154" s="26" t="e">
        <f>IF(#REF!="","",#REF!)</f>
        <v>#REF!</v>
      </c>
      <c r="B154" s="25" t="e">
        <f>IF(#REF!="","",#REF!)</f>
        <v>#REF!</v>
      </c>
      <c r="D154" s="7"/>
      <c r="F154" s="7"/>
      <c r="H154" s="7"/>
      <c r="J154" s="7"/>
      <c r="L154" s="7"/>
      <c r="N154" s="7"/>
      <c r="P154" s="7"/>
      <c r="R154" s="7"/>
      <c r="Y154" s="29"/>
    </row>
    <row r="155" spans="1:25" ht="21.6" customHeight="1">
      <c r="A155" s="26" t="e">
        <f>IF(#REF!="","",#REF!)</f>
        <v>#REF!</v>
      </c>
      <c r="B155" s="25" t="e">
        <f>IF(#REF!="","",#REF!)</f>
        <v>#REF!</v>
      </c>
      <c r="D155" s="7"/>
      <c r="F155" s="7"/>
      <c r="H155" s="7"/>
      <c r="J155" s="7"/>
      <c r="L155" s="7"/>
      <c r="N155" s="7"/>
      <c r="P155" s="7"/>
      <c r="R155" s="7"/>
      <c r="Y155" s="29"/>
    </row>
    <row r="156" spans="1:25" ht="9" customHeight="1">
      <c r="A156" s="26" t="e">
        <f>IF(#REF!="","",#REF!)</f>
        <v>#REF!</v>
      </c>
      <c r="B156" s="25" t="e">
        <f>IF(#REF!="","",#REF!)</f>
        <v>#REF!</v>
      </c>
      <c r="D156" s="7"/>
      <c r="F156" s="7"/>
      <c r="H156" s="7"/>
      <c r="J156" s="7"/>
      <c r="L156" s="7"/>
      <c r="N156" s="7"/>
      <c r="P156" s="7"/>
      <c r="R156" s="7"/>
      <c r="Y156" s="29"/>
    </row>
    <row r="157" spans="1:25" ht="21.6" customHeight="1">
      <c r="A157" s="26" t="e">
        <f>IF(#REF!="","",#REF!)</f>
        <v>#REF!</v>
      </c>
      <c r="B157" s="25" t="e">
        <f>IF(#REF!="","",#REF!)</f>
        <v>#REF!</v>
      </c>
      <c r="D157" s="7"/>
      <c r="F157" s="7"/>
      <c r="H157" s="7"/>
      <c r="J157" s="7"/>
      <c r="L157" s="7"/>
      <c r="N157" s="7"/>
      <c r="P157" s="7"/>
      <c r="R157" s="7"/>
      <c r="Y157" s="29"/>
    </row>
    <row r="158" spans="1:25" ht="9" customHeight="1">
      <c r="A158" s="26" t="e">
        <f>IF(#REF!="","",#REF!)</f>
        <v>#REF!</v>
      </c>
      <c r="B158" s="25" t="e">
        <f>IF(#REF!="","",#REF!)</f>
        <v>#REF!</v>
      </c>
      <c r="D158" s="7"/>
      <c r="F158" s="7"/>
      <c r="H158" s="7"/>
      <c r="J158" s="7"/>
      <c r="L158" s="7"/>
      <c r="N158" s="7"/>
      <c r="P158" s="7"/>
      <c r="R158" s="7"/>
      <c r="Y158" s="29"/>
    </row>
    <row r="159" spans="1:25" ht="21.6" customHeight="1">
      <c r="A159" s="26" t="e">
        <f>IF(#REF!="","",#REF!)</f>
        <v>#REF!</v>
      </c>
      <c r="B159" s="25" t="e">
        <f>IF(#REF!="","",#REF!)</f>
        <v>#REF!</v>
      </c>
      <c r="Y159" s="29"/>
    </row>
    <row r="160" spans="1:25" ht="9" customHeight="1">
      <c r="A160" s="26" t="e">
        <f>IF(#REF!="","",#REF!)</f>
        <v>#REF!</v>
      </c>
      <c r="B160" s="25" t="e">
        <f>IF(#REF!="","",#REF!)</f>
        <v>#REF!</v>
      </c>
      <c r="Y160" s="30"/>
    </row>
    <row r="161" spans="1:25" ht="21.6" customHeight="1">
      <c r="A161" s="26" t="e">
        <f>IF(#REF!="","",#REF!)</f>
        <v>#REF!</v>
      </c>
      <c r="B161" s="25" t="e">
        <f>IF(#REF!="","",#REF!)</f>
        <v>#REF!</v>
      </c>
      <c r="Y161" s="30"/>
    </row>
    <row r="162" spans="1:25" ht="9" customHeight="1">
      <c r="A162" s="26" t="e">
        <f>IF(#REF!="","",#REF!)</f>
        <v>#REF!</v>
      </c>
      <c r="B162" s="25" t="e">
        <f>IF(#REF!="","",#REF!)</f>
        <v>#REF!</v>
      </c>
      <c r="Y162" s="29"/>
    </row>
    <row r="163" spans="1:25" ht="21.6" customHeight="1">
      <c r="A163" s="26" t="e">
        <f>IF(#REF!="","",#REF!)</f>
        <v>#REF!</v>
      </c>
      <c r="B163" s="25" t="e">
        <f>IF(#REF!="","",#REF!)</f>
        <v>#REF!</v>
      </c>
      <c r="Y163" s="29"/>
    </row>
    <row r="164" spans="1:25" ht="9" customHeight="1">
      <c r="A164" s="26" t="e">
        <f>IF(#REF!="","",#REF!)</f>
        <v>#REF!</v>
      </c>
      <c r="B164" s="25" t="e">
        <f>IF(#REF!="","",#REF!)</f>
        <v>#REF!</v>
      </c>
      <c r="Y164" s="29"/>
    </row>
    <row r="165" spans="1:25" ht="21.6" customHeight="1">
      <c r="A165" s="26" t="e">
        <f>IF(#REF!="","",#REF!)</f>
        <v>#REF!</v>
      </c>
      <c r="B165" s="25" t="e">
        <f>IF(#REF!="","",#REF!)</f>
        <v>#REF!</v>
      </c>
      <c r="Y165" s="29"/>
    </row>
    <row r="166" spans="1:25" ht="9" customHeight="1">
      <c r="A166" s="26" t="e">
        <f>IF(#REF!="","",#REF!)</f>
        <v>#REF!</v>
      </c>
      <c r="B166" s="25" t="e">
        <f>IF(#REF!="","",#REF!)</f>
        <v>#REF!</v>
      </c>
      <c r="Y166" s="29"/>
    </row>
    <row r="167" spans="1:25" ht="21.6" customHeight="1">
      <c r="A167" s="26" t="e">
        <f>IF(#REF!="","",#REF!)</f>
        <v>#REF!</v>
      </c>
      <c r="B167" s="25" t="e">
        <f>IF(#REF!="","",#REF!)</f>
        <v>#REF!</v>
      </c>
      <c r="Y167" s="29"/>
    </row>
    <row r="168" spans="1:25" ht="9" customHeight="1">
      <c r="A168" s="26" t="e">
        <f>IF(#REF!="","",#REF!)</f>
        <v>#REF!</v>
      </c>
      <c r="B168" s="25" t="e">
        <f>IF(#REF!="","",#REF!)</f>
        <v>#REF!</v>
      </c>
      <c r="Y168" s="29"/>
    </row>
    <row r="169" spans="1:25" ht="21.6" customHeight="1">
      <c r="A169" s="26" t="e">
        <f>IF(#REF!="","",#REF!)</f>
        <v>#REF!</v>
      </c>
      <c r="B169" s="25" t="e">
        <f>IF(#REF!="","",#REF!)</f>
        <v>#REF!</v>
      </c>
      <c r="Y169" s="29"/>
    </row>
    <row r="170" spans="1:25" ht="9" customHeight="1">
      <c r="A170" s="26" t="e">
        <f>IF(#REF!="","",#REF!)</f>
        <v>#REF!</v>
      </c>
      <c r="B170" s="25" t="e">
        <f>IF(#REF!="","",#REF!)</f>
        <v>#REF!</v>
      </c>
      <c r="D170" s="7"/>
      <c r="F170" s="7"/>
      <c r="H170" s="7"/>
      <c r="J170" s="7"/>
      <c r="L170" s="7"/>
      <c r="N170" s="7"/>
      <c r="P170" s="7"/>
      <c r="R170" s="7"/>
      <c r="Y170" s="29"/>
    </row>
    <row r="171" spans="1:25" ht="21.6" customHeight="1">
      <c r="A171" s="26" t="e">
        <f>IF(#REF!="","",#REF!)</f>
        <v>#REF!</v>
      </c>
      <c r="B171" s="25" t="e">
        <f>IF(#REF!="","",#REF!)</f>
        <v>#REF!</v>
      </c>
      <c r="D171" s="7"/>
      <c r="F171" s="7"/>
      <c r="H171" s="7"/>
      <c r="J171" s="7"/>
      <c r="L171" s="7"/>
      <c r="N171" s="7"/>
      <c r="P171" s="7"/>
      <c r="R171" s="7"/>
      <c r="Y171" s="29"/>
    </row>
    <row r="172" spans="1:25" ht="9" customHeight="1">
      <c r="A172" s="26" t="e">
        <f>IF(#REF!="","",#REF!)</f>
        <v>#REF!</v>
      </c>
      <c r="B172" s="25" t="e">
        <f>IF(#REF!="","",#REF!)</f>
        <v>#REF!</v>
      </c>
      <c r="D172" s="7"/>
      <c r="F172" s="7"/>
      <c r="H172" s="7"/>
      <c r="J172" s="7"/>
      <c r="L172" s="7"/>
      <c r="N172" s="7"/>
      <c r="P172" s="7"/>
      <c r="R172" s="7"/>
      <c r="Y172" s="29"/>
    </row>
    <row r="173" spans="1:25" ht="21.6" customHeight="1">
      <c r="A173" s="26" t="e">
        <f>IF(#REF!="","",#REF!)</f>
        <v>#REF!</v>
      </c>
      <c r="B173" s="25" t="e">
        <f>IF(#REF!="","",#REF!)</f>
        <v>#REF!</v>
      </c>
      <c r="D173" s="7"/>
      <c r="F173" s="7"/>
      <c r="H173" s="7"/>
      <c r="J173" s="7"/>
      <c r="L173" s="7"/>
      <c r="N173" s="7"/>
      <c r="P173" s="7"/>
      <c r="R173" s="7"/>
      <c r="Y173" s="29"/>
    </row>
    <row r="174" spans="1:25" ht="9" customHeight="1">
      <c r="A174" s="26" t="e">
        <f>IF(#REF!="","",#REF!)</f>
        <v>#REF!</v>
      </c>
      <c r="B174" s="25" t="e">
        <f>IF(#REF!="","",#REF!)</f>
        <v>#REF!</v>
      </c>
      <c r="D174" s="7"/>
      <c r="F174" s="7"/>
      <c r="H174" s="7"/>
      <c r="J174" s="7"/>
      <c r="L174" s="7"/>
      <c r="N174" s="7"/>
      <c r="P174" s="7"/>
      <c r="R174" s="7"/>
      <c r="Y174" s="29"/>
    </row>
    <row r="175" spans="1:25" ht="21.6" customHeight="1">
      <c r="A175" s="26" t="e">
        <f>IF(#REF!="","",#REF!)</f>
        <v>#REF!</v>
      </c>
      <c r="B175" s="25" t="e">
        <f>IF(#REF!="","",#REF!)</f>
        <v>#REF!</v>
      </c>
      <c r="D175" s="7"/>
      <c r="F175" s="7"/>
      <c r="H175" s="7"/>
      <c r="J175" s="7"/>
      <c r="L175" s="7"/>
      <c r="N175" s="7"/>
      <c r="P175" s="7"/>
      <c r="R175" s="7"/>
      <c r="Y175" s="29"/>
    </row>
    <row r="176" spans="1:25" ht="9" customHeight="1">
      <c r="A176" s="26" t="e">
        <f>IF(#REF!="","",#REF!)</f>
        <v>#REF!</v>
      </c>
      <c r="B176" s="25" t="e">
        <f>IF(#REF!="","",#REF!)</f>
        <v>#REF!</v>
      </c>
      <c r="D176" s="7"/>
      <c r="F176" s="7"/>
      <c r="H176" s="7"/>
      <c r="J176" s="7"/>
      <c r="L176" s="7"/>
      <c r="N176" s="7"/>
      <c r="P176" s="7"/>
      <c r="R176" s="7"/>
      <c r="Y176" s="29"/>
    </row>
    <row r="177" spans="1:25" ht="21.6" customHeight="1">
      <c r="A177" s="26" t="e">
        <f>IF(#REF!="","",#REF!)</f>
        <v>#REF!</v>
      </c>
      <c r="B177" s="25" t="e">
        <f>IF(#REF!="","",#REF!)</f>
        <v>#REF!</v>
      </c>
      <c r="D177" s="7"/>
      <c r="F177" s="7"/>
      <c r="H177" s="7"/>
      <c r="J177" s="7"/>
      <c r="L177" s="7"/>
      <c r="N177" s="7"/>
      <c r="P177" s="7"/>
      <c r="R177" s="7"/>
      <c r="Y177" s="29"/>
    </row>
    <row r="178" spans="1:25" ht="9" customHeight="1">
      <c r="A178" s="26" t="e">
        <f>IF(#REF!="","",#REF!)</f>
        <v>#REF!</v>
      </c>
      <c r="B178" s="25" t="e">
        <f>IF(#REF!="","",#REF!)</f>
        <v>#REF!</v>
      </c>
      <c r="D178" s="7"/>
      <c r="F178" s="7"/>
      <c r="H178" s="7"/>
      <c r="J178" s="7"/>
      <c r="L178" s="7"/>
      <c r="N178" s="7"/>
      <c r="P178" s="7"/>
      <c r="R178" s="7"/>
      <c r="Y178" s="29"/>
    </row>
    <row r="179" spans="1:25" ht="21.6" customHeight="1">
      <c r="A179" s="26" t="e">
        <f>IF(#REF!="","",#REF!)</f>
        <v>#REF!</v>
      </c>
      <c r="B179" s="25" t="e">
        <f>IF(#REF!="","",#REF!)</f>
        <v>#REF!</v>
      </c>
      <c r="Y179" s="29"/>
    </row>
    <row r="180" spans="1:25" ht="9" customHeight="1">
      <c r="A180" s="26" t="e">
        <f>IF(#REF!="","",#REF!)</f>
        <v>#REF!</v>
      </c>
      <c r="B180" s="25" t="e">
        <f>IF(#REF!="","",#REF!)</f>
        <v>#REF!</v>
      </c>
      <c r="Y180" s="29"/>
    </row>
    <row r="181" spans="1:25" ht="21.6" customHeight="1">
      <c r="A181" s="26" t="e">
        <f>IF(#REF!="","",#REF!)</f>
        <v>#REF!</v>
      </c>
      <c r="B181" s="25" t="e">
        <f>IF(#REF!="","",#REF!)</f>
        <v>#REF!</v>
      </c>
      <c r="Y181" s="29"/>
    </row>
    <row r="182" spans="1:25" ht="9" customHeight="1">
      <c r="A182" s="26" t="e">
        <f>IF(#REF!="","",#REF!)</f>
        <v>#REF!</v>
      </c>
      <c r="B182" s="25" t="e">
        <f>IF(#REF!="","",#REF!)</f>
        <v>#REF!</v>
      </c>
      <c r="Y182" s="29"/>
    </row>
    <row r="183" spans="1:25" ht="21.6" customHeight="1">
      <c r="A183" s="26" t="e">
        <f>IF(#REF!="","",#REF!)</f>
        <v>#REF!</v>
      </c>
      <c r="B183" s="25" t="e">
        <f>IF(#REF!="","",#REF!)</f>
        <v>#REF!</v>
      </c>
      <c r="Y183" s="29"/>
    </row>
    <row r="184" spans="1:25" ht="9" customHeight="1">
      <c r="A184" s="26" t="e">
        <f>IF(#REF!="","",#REF!)</f>
        <v>#REF!</v>
      </c>
      <c r="B184" s="25" t="e">
        <f>IF(#REF!="","",#REF!)</f>
        <v>#REF!</v>
      </c>
      <c r="Y184" s="29"/>
    </row>
    <row r="185" spans="1:25" ht="21.6" customHeight="1">
      <c r="A185" s="26" t="e">
        <f>IF(#REF!="","",#REF!)</f>
        <v>#REF!</v>
      </c>
      <c r="B185" s="25" t="e">
        <f>IF(#REF!="","",#REF!)</f>
        <v>#REF!</v>
      </c>
      <c r="Y185" s="29"/>
    </row>
    <row r="186" spans="1:25" ht="9" customHeight="1">
      <c r="A186" s="26" t="e">
        <f>IF(#REF!="","",#REF!)</f>
        <v>#REF!</v>
      </c>
      <c r="B186" s="25" t="e">
        <f>IF(#REF!="","",#REF!)</f>
        <v>#REF!</v>
      </c>
      <c r="Y186" s="29"/>
    </row>
    <row r="187" spans="1:25" ht="21.6" customHeight="1">
      <c r="A187" s="26" t="e">
        <f>IF(#REF!="","",#REF!)</f>
        <v>#REF!</v>
      </c>
      <c r="B187" s="25" t="e">
        <f>IF(#REF!="","",#REF!)</f>
        <v>#REF!</v>
      </c>
      <c r="Y187" s="29"/>
    </row>
    <row r="188" spans="1:25" ht="9" customHeight="1">
      <c r="A188" s="26" t="e">
        <f>IF(#REF!="","",#REF!)</f>
        <v>#REF!</v>
      </c>
      <c r="B188" s="25" t="e">
        <f>IF(#REF!="","",#REF!)</f>
        <v>#REF!</v>
      </c>
      <c r="Y188" s="30"/>
    </row>
    <row r="189" spans="1:25" ht="21.6" customHeight="1">
      <c r="A189" s="26" t="e">
        <f>IF(#REF!="","",#REF!)</f>
        <v>#REF!</v>
      </c>
      <c r="B189" s="25" t="e">
        <f>IF(#REF!="","",#REF!)</f>
        <v>#REF!</v>
      </c>
      <c r="Y189" s="30" t="e">
        <f>IF($A189="","",LARGE($Y$1:$Y188,1)+1)</f>
        <v>#REF!</v>
      </c>
    </row>
    <row r="190" spans="1:25" ht="9" customHeight="1">
      <c r="A190" s="26" t="e">
        <f>IF(#REF!="","",#REF!)</f>
        <v>#REF!</v>
      </c>
      <c r="B190" s="25" t="e">
        <f>IF(#REF!="","",#REF!)</f>
        <v>#REF!</v>
      </c>
      <c r="D190" s="7"/>
      <c r="F190" s="7"/>
      <c r="H190" s="7"/>
      <c r="J190" s="7"/>
      <c r="L190" s="7"/>
      <c r="N190" s="7"/>
      <c r="P190" s="7"/>
      <c r="R190" s="7"/>
      <c r="Y190" s="29"/>
    </row>
    <row r="191" spans="1:25" ht="21.6" customHeight="1">
      <c r="A191" s="26" t="e">
        <f>IF(#REF!="","",#REF!)</f>
        <v>#REF!</v>
      </c>
      <c r="B191" s="25" t="e">
        <f>IF(#REF!="","",#REF!)</f>
        <v>#REF!</v>
      </c>
      <c r="D191" s="7"/>
      <c r="F191" s="7"/>
      <c r="H191" s="7"/>
      <c r="J191" s="7"/>
      <c r="L191" s="7"/>
      <c r="N191" s="7"/>
      <c r="P191" s="7"/>
      <c r="R191" s="7"/>
      <c r="Y191" s="29"/>
    </row>
    <row r="192" spans="1:25" ht="9" customHeight="1">
      <c r="A192" s="26" t="e">
        <f>IF(#REF!="","",#REF!)</f>
        <v>#REF!</v>
      </c>
      <c r="B192" s="25" t="e">
        <f>IF(#REF!="","",#REF!)</f>
        <v>#REF!</v>
      </c>
      <c r="D192" s="7"/>
      <c r="F192" s="7"/>
      <c r="H192" s="7"/>
      <c r="J192" s="7"/>
      <c r="L192" s="7"/>
      <c r="N192" s="7"/>
      <c r="P192" s="7"/>
      <c r="R192" s="7"/>
      <c r="Y192" s="29"/>
    </row>
    <row r="193" spans="1:25" ht="21.6" customHeight="1">
      <c r="A193" s="26" t="e">
        <f>IF(#REF!="","",#REF!)</f>
        <v>#REF!</v>
      </c>
      <c r="B193" s="25" t="e">
        <f>IF(#REF!="","",#REF!)</f>
        <v>#REF!</v>
      </c>
      <c r="D193" s="7"/>
      <c r="F193" s="7"/>
      <c r="H193" s="7"/>
      <c r="J193" s="7"/>
      <c r="L193" s="7"/>
      <c r="N193" s="7"/>
      <c r="P193" s="7"/>
      <c r="R193" s="7"/>
      <c r="Y193" s="30"/>
    </row>
    <row r="194" spans="1:25" ht="9" customHeight="1">
      <c r="A194" s="26" t="e">
        <f>IF(#REF!="","",#REF!)</f>
        <v>#REF!</v>
      </c>
      <c r="B194" s="25" t="e">
        <f>IF(#REF!="","",#REF!)</f>
        <v>#REF!</v>
      </c>
      <c r="D194" s="7"/>
      <c r="F194" s="7"/>
      <c r="H194" s="7"/>
      <c r="J194" s="7"/>
      <c r="L194" s="7"/>
      <c r="N194" s="7"/>
      <c r="P194" s="7"/>
      <c r="R194" s="7"/>
      <c r="Y194" s="29"/>
    </row>
    <row r="195" spans="1:25" ht="21.6" customHeight="1">
      <c r="A195" s="26" t="e">
        <f>IF(#REF!="","",#REF!)</f>
        <v>#REF!</v>
      </c>
      <c r="B195" s="25" t="e">
        <f>IF(#REF!="","",#REF!)</f>
        <v>#REF!</v>
      </c>
      <c r="D195" s="7"/>
      <c r="F195" s="7"/>
      <c r="H195" s="7"/>
      <c r="J195" s="7"/>
      <c r="L195" s="7"/>
      <c r="N195" s="7"/>
      <c r="P195" s="7"/>
      <c r="R195" s="7"/>
      <c r="Y195" s="29"/>
    </row>
    <row r="196" spans="1:25" ht="9" customHeight="1">
      <c r="A196" s="26" t="e">
        <f>IF(#REF!="","",#REF!)</f>
        <v>#REF!</v>
      </c>
      <c r="B196" s="25" t="e">
        <f>IF(#REF!="","",#REF!)</f>
        <v>#REF!</v>
      </c>
      <c r="D196" s="7"/>
      <c r="F196" s="7"/>
      <c r="H196" s="7"/>
      <c r="J196" s="7"/>
      <c r="L196" s="7"/>
      <c r="N196" s="7"/>
      <c r="P196" s="7"/>
      <c r="R196" s="7"/>
      <c r="Y196" s="29"/>
    </row>
    <row r="197" spans="1:25" ht="21.6" customHeight="1">
      <c r="A197" s="26" t="e">
        <f>IF(#REF!="","",#REF!)</f>
        <v>#REF!</v>
      </c>
      <c r="B197" s="25" t="e">
        <f>IF(#REF!="","",#REF!)</f>
        <v>#REF!</v>
      </c>
      <c r="D197" s="7"/>
      <c r="F197" s="7"/>
      <c r="H197" s="7"/>
      <c r="J197" s="7"/>
      <c r="L197" s="7"/>
      <c r="N197" s="7"/>
      <c r="P197" s="7"/>
      <c r="R197" s="7"/>
      <c r="Y197" s="29"/>
    </row>
    <row r="198" spans="1:25" ht="9" customHeight="1">
      <c r="A198" s="26" t="e">
        <f>IF(#REF!="","",#REF!)</f>
        <v>#REF!</v>
      </c>
      <c r="B198" s="25" t="e">
        <f>IF(#REF!="","",#REF!)</f>
        <v>#REF!</v>
      </c>
      <c r="D198" s="7"/>
      <c r="F198" s="7"/>
      <c r="H198" s="7"/>
      <c r="J198" s="7"/>
      <c r="L198" s="7"/>
      <c r="N198" s="7"/>
      <c r="P198" s="7"/>
      <c r="R198" s="7"/>
      <c r="Y198" s="30"/>
    </row>
    <row r="199" spans="1:25" ht="21.6" customHeight="1">
      <c r="A199" s="26" t="e">
        <f>IF(#REF!="","",#REF!)</f>
        <v>#REF!</v>
      </c>
      <c r="B199" s="25" t="e">
        <f>IF(#REF!="","",#REF!)</f>
        <v>#REF!</v>
      </c>
      <c r="Y199" s="30"/>
    </row>
    <row r="200" spans="1:25" ht="9" customHeight="1">
      <c r="A200" s="26" t="e">
        <f>IF(#REF!="","",#REF!)</f>
        <v>#REF!</v>
      </c>
      <c r="B200" s="25" t="e">
        <f>IF(#REF!="","",#REF!)</f>
        <v>#REF!</v>
      </c>
      <c r="Y200" s="29"/>
    </row>
    <row r="201" spans="1:25" ht="21.6" customHeight="1">
      <c r="A201" s="26" t="e">
        <f>IF(#REF!="","",#REF!)</f>
        <v>#REF!</v>
      </c>
      <c r="B201" s="25" t="e">
        <f>IF(#REF!="","",#REF!)</f>
        <v>#REF!</v>
      </c>
      <c r="Y201" s="29"/>
    </row>
    <row r="202" spans="1:25" ht="9" customHeight="1">
      <c r="A202" s="26" t="e">
        <f>IF(#REF!="","",#REF!)</f>
        <v>#REF!</v>
      </c>
      <c r="B202" s="25" t="e">
        <f>IF(#REF!="","",#REF!)</f>
        <v>#REF!</v>
      </c>
      <c r="Y202" s="29"/>
    </row>
    <row r="203" spans="1:25" ht="21.6" customHeight="1">
      <c r="A203" s="26" t="e">
        <f>IF(#REF!="","",#REF!)</f>
        <v>#REF!</v>
      </c>
      <c r="B203" s="25" t="e">
        <f>IF(#REF!="","",#REF!)</f>
        <v>#REF!</v>
      </c>
      <c r="Y203" s="29"/>
    </row>
    <row r="204" spans="1:25" ht="9" customHeight="1">
      <c r="A204" s="26" t="e">
        <f>IF(#REF!="","",#REF!)</f>
        <v>#REF!</v>
      </c>
      <c r="B204" s="25" t="e">
        <f>IF(#REF!="","",#REF!)</f>
        <v>#REF!</v>
      </c>
      <c r="Y204" s="29"/>
    </row>
    <row r="205" spans="1:25" ht="21.6" customHeight="1">
      <c r="A205" s="26" t="e">
        <f>IF(#REF!="","",#REF!)</f>
        <v>#REF!</v>
      </c>
      <c r="B205" s="25" t="e">
        <f>IF(#REF!="","",#REF!)</f>
        <v>#REF!</v>
      </c>
      <c r="Y205" s="29"/>
    </row>
    <row r="206" spans="1:25" ht="9" customHeight="1">
      <c r="A206" s="26" t="e">
        <f>IF(#REF!="","",#REF!)</f>
        <v>#REF!</v>
      </c>
      <c r="B206" s="25" t="e">
        <f>IF(#REF!="","",#REF!)</f>
        <v>#REF!</v>
      </c>
      <c r="Y206" s="29"/>
    </row>
    <row r="207" spans="1:25" ht="21.6" customHeight="1">
      <c r="A207" s="26" t="e">
        <f>IF(#REF!="","",#REF!)</f>
        <v>#REF!</v>
      </c>
      <c r="B207" s="25" t="e">
        <f>IF(#REF!="","",#REF!)</f>
        <v>#REF!</v>
      </c>
      <c r="Y207" s="29"/>
    </row>
    <row r="208" spans="1:25" ht="9" customHeight="1">
      <c r="A208" s="26" t="e">
        <f>IF(#REF!="","",#REF!)</f>
        <v>#REF!</v>
      </c>
      <c r="B208" s="25" t="e">
        <f>IF(#REF!="","",#REF!)</f>
        <v>#REF!</v>
      </c>
      <c r="Y208" s="29"/>
    </row>
    <row r="209" spans="1:25" ht="21.6" customHeight="1">
      <c r="A209" s="26" t="e">
        <f>IF(#REF!="","",#REF!)</f>
        <v>#REF!</v>
      </c>
      <c r="B209" s="25" t="e">
        <f>IF(#REF!="","",#REF!)</f>
        <v>#REF!</v>
      </c>
      <c r="Y209" s="29"/>
    </row>
    <row r="210" spans="1:25" ht="9" customHeight="1">
      <c r="A210" s="26" t="e">
        <f>IF(#REF!="","",#REF!)</f>
        <v>#REF!</v>
      </c>
      <c r="B210" s="25" t="e">
        <f>IF(#REF!="","",#REF!)</f>
        <v>#REF!</v>
      </c>
      <c r="D210" s="7"/>
      <c r="F210" s="7"/>
      <c r="H210" s="7"/>
      <c r="J210" s="7"/>
      <c r="L210" s="7"/>
      <c r="N210" s="7"/>
      <c r="P210" s="7"/>
      <c r="R210" s="7"/>
      <c r="Y210" s="29"/>
    </row>
    <row r="211" spans="1:25" ht="21.6" customHeight="1">
      <c r="A211" s="26" t="e">
        <f>IF(#REF!="","",#REF!)</f>
        <v>#REF!</v>
      </c>
      <c r="B211" s="25" t="e">
        <f>IF(#REF!="","",#REF!)</f>
        <v>#REF!</v>
      </c>
      <c r="D211" s="7"/>
      <c r="F211" s="7"/>
      <c r="H211" s="7"/>
      <c r="J211" s="7"/>
      <c r="L211" s="7"/>
      <c r="N211" s="7"/>
      <c r="P211" s="7"/>
      <c r="R211" s="7"/>
      <c r="Y211" s="29"/>
    </row>
    <row r="212" spans="1:25" ht="9" customHeight="1">
      <c r="A212" s="26" t="e">
        <f>IF(#REF!="","",#REF!)</f>
        <v>#REF!</v>
      </c>
      <c r="B212" s="25" t="e">
        <f>IF(#REF!="","",#REF!)</f>
        <v>#REF!</v>
      </c>
      <c r="D212" s="7"/>
      <c r="F212" s="7"/>
      <c r="H212" s="7"/>
      <c r="J212" s="7"/>
      <c r="L212" s="7"/>
      <c r="N212" s="7"/>
      <c r="P212" s="7"/>
      <c r="R212" s="7"/>
      <c r="Y212" s="29"/>
    </row>
    <row r="213" spans="1:25" ht="21.6" customHeight="1">
      <c r="A213" s="26" t="e">
        <f>IF(#REF!="","",#REF!)</f>
        <v>#REF!</v>
      </c>
      <c r="B213" s="25" t="e">
        <f>IF(#REF!="","",#REF!)</f>
        <v>#REF!</v>
      </c>
      <c r="D213" s="7"/>
      <c r="F213" s="7"/>
      <c r="H213" s="7"/>
      <c r="J213" s="7"/>
      <c r="L213" s="7"/>
      <c r="N213" s="7"/>
      <c r="P213" s="7"/>
      <c r="R213" s="7"/>
      <c r="Y213" s="29"/>
    </row>
    <row r="214" spans="1:25" ht="9" customHeight="1">
      <c r="A214" s="26" t="e">
        <f>IF(#REF!="","",#REF!)</f>
        <v>#REF!</v>
      </c>
      <c r="B214" s="25" t="e">
        <f>IF(#REF!="","",#REF!)</f>
        <v>#REF!</v>
      </c>
      <c r="D214" s="7"/>
      <c r="F214" s="7"/>
      <c r="H214" s="7"/>
      <c r="J214" s="7"/>
      <c r="L214" s="7"/>
      <c r="N214" s="7"/>
      <c r="P214" s="7"/>
      <c r="R214" s="7"/>
      <c r="Y214" s="29"/>
    </row>
    <row r="215" spans="1:25" ht="21.6" customHeight="1">
      <c r="A215" s="26" t="e">
        <f>IF(#REF!="","",#REF!)</f>
        <v>#REF!</v>
      </c>
      <c r="B215" s="25" t="e">
        <f>IF(#REF!="","",#REF!)</f>
        <v>#REF!</v>
      </c>
      <c r="D215" s="7"/>
      <c r="F215" s="7"/>
      <c r="H215" s="7"/>
      <c r="J215" s="7"/>
      <c r="L215" s="7"/>
      <c r="N215" s="7"/>
      <c r="P215" s="7"/>
      <c r="R215" s="7"/>
      <c r="Y215" s="29"/>
    </row>
    <row r="216" spans="1:25" ht="9" customHeight="1">
      <c r="A216" s="26" t="e">
        <f>IF(#REF!="","",#REF!)</f>
        <v>#REF!</v>
      </c>
      <c r="B216" s="25" t="e">
        <f>IF(#REF!="","",#REF!)</f>
        <v>#REF!</v>
      </c>
      <c r="D216" s="7"/>
      <c r="F216" s="7"/>
      <c r="H216" s="7"/>
      <c r="J216" s="7"/>
      <c r="L216" s="7"/>
      <c r="N216" s="7"/>
      <c r="P216" s="7"/>
      <c r="R216" s="7"/>
      <c r="Y216" s="29"/>
    </row>
    <row r="217" spans="1:25" ht="21.6" customHeight="1">
      <c r="A217" s="26" t="e">
        <f>IF(#REF!="","",#REF!)</f>
        <v>#REF!</v>
      </c>
      <c r="B217" s="25" t="e">
        <f>IF(#REF!="","",#REF!)</f>
        <v>#REF!</v>
      </c>
      <c r="D217" s="7"/>
      <c r="F217" s="7"/>
      <c r="H217" s="7"/>
      <c r="J217" s="7"/>
      <c r="L217" s="7"/>
      <c r="N217" s="7"/>
      <c r="P217" s="7"/>
      <c r="R217" s="7"/>
      <c r="Y217" s="29"/>
    </row>
    <row r="218" spans="1:25" ht="9" customHeight="1">
      <c r="A218" s="26" t="e">
        <f>IF(#REF!="","",#REF!)</f>
        <v>#REF!</v>
      </c>
      <c r="B218" s="25" t="e">
        <f>IF(#REF!="","",#REF!)</f>
        <v>#REF!</v>
      </c>
      <c r="D218" s="7"/>
      <c r="F218" s="7"/>
      <c r="H218" s="7"/>
      <c r="J218" s="7"/>
      <c r="L218" s="7"/>
      <c r="N218" s="7"/>
      <c r="P218" s="7"/>
      <c r="R218" s="7"/>
      <c r="Y218" s="29"/>
    </row>
    <row r="219" spans="1:25" ht="21.6" customHeight="1">
      <c r="A219" s="26" t="e">
        <f>IF(#REF!="","",#REF!)</f>
        <v>#REF!</v>
      </c>
      <c r="B219" s="25" t="e">
        <f>IF(#REF!="","",#REF!)</f>
        <v>#REF!</v>
      </c>
      <c r="Y219" s="29"/>
    </row>
    <row r="220" spans="1:25" ht="9" customHeight="1">
      <c r="A220" s="26" t="e">
        <f>IF(#REF!="","",#REF!)</f>
        <v>#REF!</v>
      </c>
      <c r="B220" s="25" t="e">
        <f>IF(#REF!="","",#REF!)</f>
        <v>#REF!</v>
      </c>
      <c r="Y220" s="29"/>
    </row>
    <row r="221" spans="1:25" ht="21.6" customHeight="1">
      <c r="A221" s="26" t="e">
        <f>IF(#REF!="","",#REF!)</f>
        <v>#REF!</v>
      </c>
      <c r="B221" s="25" t="e">
        <f>IF(#REF!="","",#REF!)</f>
        <v>#REF!</v>
      </c>
      <c r="Y221" s="29"/>
    </row>
    <row r="222" spans="1:25" ht="9" customHeight="1">
      <c r="A222" s="26" t="e">
        <f>IF(#REF!="","",#REF!)</f>
        <v>#REF!</v>
      </c>
      <c r="B222" s="25" t="e">
        <f>IF(#REF!="","",#REF!)</f>
        <v>#REF!</v>
      </c>
      <c r="Y222" s="29"/>
    </row>
    <row r="223" spans="1:25" ht="21.6" customHeight="1">
      <c r="A223" s="26" t="e">
        <f>IF(#REF!="","",#REF!)</f>
        <v>#REF!</v>
      </c>
      <c r="B223" s="25" t="e">
        <f>IF(#REF!="","",#REF!)</f>
        <v>#REF!</v>
      </c>
      <c r="Y223" s="29"/>
    </row>
    <row r="224" spans="1:25" ht="9" customHeight="1">
      <c r="A224" s="26" t="e">
        <f>IF(#REF!="","",#REF!)</f>
        <v>#REF!</v>
      </c>
      <c r="B224" s="25" t="e">
        <f>IF(#REF!="","",#REF!)</f>
        <v>#REF!</v>
      </c>
      <c r="Y224" s="30"/>
    </row>
    <row r="225" spans="1:25" ht="21.6" customHeight="1">
      <c r="A225" s="26" t="e">
        <f>IF(#REF!="","",#REF!)</f>
        <v>#REF!</v>
      </c>
      <c r="B225" s="25" t="e">
        <f>IF(#REF!="","",#REF!)</f>
        <v>#REF!</v>
      </c>
      <c r="Y225" s="29"/>
    </row>
    <row r="226" spans="1:25" ht="9" customHeight="1">
      <c r="A226" s="26" t="e">
        <f>IF(#REF!="","",#REF!)</f>
        <v>#REF!</v>
      </c>
      <c r="B226" s="25" t="e">
        <f>IF(#REF!="","",#REF!)</f>
        <v>#REF!</v>
      </c>
      <c r="Y226" s="29"/>
    </row>
    <row r="227" spans="1:25" ht="21.6" customHeight="1">
      <c r="A227" s="26" t="e">
        <f>IF(#REF!="","",#REF!)</f>
        <v>#REF!</v>
      </c>
      <c r="B227" s="25" t="e">
        <f>IF(#REF!="","",#REF!)</f>
        <v>#REF!</v>
      </c>
      <c r="Y227" s="29"/>
    </row>
    <row r="228" spans="1:25" ht="9" customHeight="1">
      <c r="A228" s="26" t="e">
        <f>IF(#REF!="","",#REF!)</f>
        <v>#REF!</v>
      </c>
      <c r="B228" s="25" t="e">
        <f>IF(#REF!="","",#REF!)</f>
        <v>#REF!</v>
      </c>
      <c r="Y228" s="29"/>
    </row>
    <row r="229" spans="1:25" ht="21.6" customHeight="1">
      <c r="A229" s="26" t="e">
        <f>IF(#REF!="","",#REF!)</f>
        <v>#REF!</v>
      </c>
      <c r="B229" s="25" t="e">
        <f>IF(#REF!="","",#REF!)</f>
        <v>#REF!</v>
      </c>
      <c r="Y229" s="29"/>
    </row>
    <row r="230" spans="1:25" ht="9" customHeight="1">
      <c r="A230" s="26" t="e">
        <f>IF(#REF!="","",#REF!)</f>
        <v>#REF!</v>
      </c>
      <c r="B230" s="25" t="e">
        <f>IF(#REF!="","",#REF!)</f>
        <v>#REF!</v>
      </c>
      <c r="D230" s="7"/>
      <c r="F230" s="7"/>
      <c r="H230" s="7"/>
      <c r="J230" s="7"/>
      <c r="L230" s="7"/>
      <c r="N230" s="7"/>
      <c r="P230" s="7"/>
      <c r="R230" s="7"/>
      <c r="Y230" s="29"/>
    </row>
    <row r="231" spans="1:25" ht="21.6" customHeight="1">
      <c r="A231" s="26" t="e">
        <f>IF(#REF!="","",#REF!)</f>
        <v>#REF!</v>
      </c>
      <c r="B231" s="25" t="e">
        <f>IF(#REF!="","",#REF!)</f>
        <v>#REF!</v>
      </c>
      <c r="D231" s="7"/>
      <c r="F231" s="7"/>
      <c r="H231" s="7"/>
      <c r="J231" s="7"/>
      <c r="L231" s="7"/>
      <c r="N231" s="7"/>
      <c r="P231" s="7"/>
      <c r="R231" s="7"/>
      <c r="Y231" s="29"/>
    </row>
    <row r="232" spans="1:25" ht="9" customHeight="1">
      <c r="A232" s="26" t="e">
        <f>IF(#REF!="","",#REF!)</f>
        <v>#REF!</v>
      </c>
      <c r="B232" s="25" t="e">
        <f>IF(#REF!="","",#REF!)</f>
        <v>#REF!</v>
      </c>
      <c r="D232" s="7"/>
      <c r="F232" s="7"/>
      <c r="H232" s="7"/>
      <c r="J232" s="7"/>
      <c r="L232" s="7"/>
      <c r="N232" s="7"/>
      <c r="P232" s="7"/>
      <c r="R232" s="7"/>
      <c r="Y232" s="29"/>
    </row>
    <row r="233" spans="1:25" ht="21.6" customHeight="1">
      <c r="A233" s="26" t="e">
        <f>IF(#REF!="","",#REF!)</f>
        <v>#REF!</v>
      </c>
      <c r="B233" s="25" t="e">
        <f>IF(#REF!="","",#REF!)</f>
        <v>#REF!</v>
      </c>
      <c r="D233" s="7"/>
      <c r="F233" s="7"/>
      <c r="H233" s="7"/>
      <c r="J233" s="7"/>
      <c r="L233" s="7"/>
      <c r="N233" s="7"/>
      <c r="P233" s="7"/>
      <c r="R233" s="7"/>
      <c r="Y233" s="29"/>
    </row>
    <row r="234" spans="1:25" ht="9" customHeight="1">
      <c r="A234" s="26" t="e">
        <f>IF(#REF!="","",#REF!)</f>
        <v>#REF!</v>
      </c>
      <c r="B234" s="25" t="e">
        <f>IF(#REF!="","",#REF!)</f>
        <v>#REF!</v>
      </c>
      <c r="D234" s="7"/>
      <c r="F234" s="7"/>
      <c r="H234" s="7"/>
      <c r="J234" s="7"/>
      <c r="L234" s="7"/>
      <c r="N234" s="7"/>
      <c r="P234" s="7"/>
      <c r="R234" s="7"/>
      <c r="Y234" s="29"/>
    </row>
    <row r="235" spans="1:25" ht="21.6" customHeight="1">
      <c r="A235" s="26" t="e">
        <f>IF(#REF!="","",#REF!)</f>
        <v>#REF!</v>
      </c>
      <c r="B235" s="25" t="e">
        <f>IF(#REF!="","",#REF!)</f>
        <v>#REF!</v>
      </c>
      <c r="D235" s="7"/>
      <c r="F235" s="7"/>
      <c r="H235" s="7"/>
      <c r="J235" s="7"/>
      <c r="L235" s="7"/>
      <c r="N235" s="7"/>
      <c r="P235" s="7"/>
      <c r="R235" s="7"/>
      <c r="Y235" s="29"/>
    </row>
    <row r="236" spans="1:25" ht="9" customHeight="1">
      <c r="A236" s="26" t="e">
        <f>IF(#REF!="","",#REF!)</f>
        <v>#REF!</v>
      </c>
      <c r="B236" s="25" t="e">
        <f>IF(#REF!="","",#REF!)</f>
        <v>#REF!</v>
      </c>
      <c r="D236" s="7"/>
      <c r="F236" s="7"/>
      <c r="H236" s="7"/>
      <c r="J236" s="7"/>
      <c r="L236" s="7"/>
      <c r="N236" s="7"/>
      <c r="P236" s="7"/>
      <c r="R236" s="7"/>
      <c r="Y236" s="29"/>
    </row>
    <row r="237" spans="1:25" ht="21.6" customHeight="1">
      <c r="A237" s="26" t="e">
        <f>IF(#REF!="","",#REF!)</f>
        <v>#REF!</v>
      </c>
      <c r="B237" s="25" t="e">
        <f>IF(#REF!="","",#REF!)</f>
        <v>#REF!</v>
      </c>
      <c r="D237" s="7"/>
      <c r="F237" s="7"/>
      <c r="H237" s="7"/>
      <c r="J237" s="7"/>
      <c r="L237" s="7"/>
      <c r="N237" s="7"/>
      <c r="P237" s="7"/>
      <c r="R237" s="7"/>
      <c r="Y237" s="30"/>
    </row>
    <row r="238" spans="1:25" ht="9" customHeight="1">
      <c r="A238" s="26" t="e">
        <f>IF(#REF!="","",#REF!)</f>
        <v>#REF!</v>
      </c>
      <c r="B238" s="25" t="e">
        <f>IF(#REF!="","",#REF!)</f>
        <v>#REF!</v>
      </c>
      <c r="D238" s="7"/>
      <c r="F238" s="7"/>
      <c r="H238" s="7"/>
      <c r="J238" s="7"/>
      <c r="L238" s="7"/>
      <c r="N238" s="7"/>
      <c r="P238" s="7"/>
      <c r="R238" s="7"/>
      <c r="Y238" s="30"/>
    </row>
    <row r="239" spans="1:25" ht="21.6" customHeight="1">
      <c r="A239" s="26" t="e">
        <f>IF(#REF!="","",#REF!)</f>
        <v>#REF!</v>
      </c>
      <c r="B239" s="25" t="e">
        <f>IF(#REF!="","",#REF!)</f>
        <v>#REF!</v>
      </c>
      <c r="Y239" s="30"/>
    </row>
    <row r="240" spans="1:25" ht="9" customHeight="1">
      <c r="A240" s="26" t="e">
        <f>IF(#REF!="","",#REF!)</f>
        <v>#REF!</v>
      </c>
      <c r="B240" s="25" t="e">
        <f>IF(#REF!="","",#REF!)</f>
        <v>#REF!</v>
      </c>
      <c r="Y240" s="30"/>
    </row>
    <row r="241" spans="1:25" ht="21.6" customHeight="1">
      <c r="A241" s="26" t="e">
        <f>IF(#REF!="","",#REF!)</f>
        <v>#REF!</v>
      </c>
      <c r="B241" s="25" t="e">
        <f>IF(#REF!="","",#REF!)</f>
        <v>#REF!</v>
      </c>
      <c r="Y241" s="30"/>
    </row>
    <row r="242" spans="1:25" ht="9" customHeight="1">
      <c r="A242" s="26" t="e">
        <f>IF(#REF!="","",#REF!)</f>
        <v>#REF!</v>
      </c>
      <c r="B242" s="25" t="e">
        <f>IF(#REF!="","",#REF!)</f>
        <v>#REF!</v>
      </c>
      <c r="Y242" s="30"/>
    </row>
    <row r="243" spans="1:25" ht="21.6" customHeight="1">
      <c r="A243" s="26" t="e">
        <f>IF(#REF!="","",#REF!)</f>
        <v>#REF!</v>
      </c>
      <c r="B243" s="25" t="e">
        <f>IF(#REF!="","",#REF!)</f>
        <v>#REF!</v>
      </c>
      <c r="Y243" s="30"/>
    </row>
    <row r="244" spans="1:25" ht="9" customHeight="1">
      <c r="A244" s="26" t="e">
        <f>IF(#REF!="","",#REF!)</f>
        <v>#REF!</v>
      </c>
      <c r="B244" s="25" t="e">
        <f>IF(#REF!="","",#REF!)</f>
        <v>#REF!</v>
      </c>
      <c r="Y244" s="30"/>
    </row>
    <row r="245" spans="1:25" ht="21.6" customHeight="1">
      <c r="A245" s="26" t="e">
        <f>IF(#REF!="","",#REF!)</f>
        <v>#REF!</v>
      </c>
      <c r="B245" s="25" t="e">
        <f>IF(#REF!="","",#REF!)</f>
        <v>#REF!</v>
      </c>
      <c r="Y245" s="30"/>
    </row>
    <row r="246" spans="1:25" ht="9" customHeight="1">
      <c r="A246" s="26" t="e">
        <f>IF(#REF!="","",#REF!)</f>
        <v>#REF!</v>
      </c>
      <c r="B246" s="25" t="e">
        <f>IF(#REF!="","",#REF!)</f>
        <v>#REF!</v>
      </c>
      <c r="Y246" s="30"/>
    </row>
    <row r="247" spans="1:25" ht="21.6" customHeight="1">
      <c r="A247" s="26" t="e">
        <f>IF(#REF!="","",#REF!)</f>
        <v>#REF!</v>
      </c>
      <c r="B247" s="25" t="e">
        <f>IF(#REF!="","",#REF!)</f>
        <v>#REF!</v>
      </c>
      <c r="Y247" s="30"/>
    </row>
    <row r="248" spans="1:25" ht="9" customHeight="1">
      <c r="A248" s="26" t="e">
        <f>IF(#REF!="","",#REF!)</f>
        <v>#REF!</v>
      </c>
      <c r="B248" s="25" t="e">
        <f>IF(#REF!="","",#REF!)</f>
        <v>#REF!</v>
      </c>
      <c r="Y248" s="30"/>
    </row>
    <row r="249" spans="1:25" ht="21.6" customHeight="1">
      <c r="A249" s="26" t="e">
        <f>IF(#REF!="","",#REF!)</f>
        <v>#REF!</v>
      </c>
      <c r="B249" s="25" t="e">
        <f>IF(#REF!="","",#REF!)</f>
        <v>#REF!</v>
      </c>
      <c r="Y249" s="30" t="e">
        <f>IF($A249="","",LARGE($Y$1:$Y248,1)+1)</f>
        <v>#REF!</v>
      </c>
    </row>
    <row r="250" spans="1:25" ht="9" customHeight="1">
      <c r="A250" s="26" t="e">
        <f>IF(#REF!="","",#REF!)</f>
        <v>#REF!</v>
      </c>
      <c r="B250" s="25" t="e">
        <f>IF(#REF!="","",#REF!)</f>
        <v>#REF!</v>
      </c>
      <c r="D250" s="7"/>
      <c r="F250" s="7"/>
      <c r="H250" s="7"/>
      <c r="J250" s="7"/>
      <c r="L250" s="7"/>
      <c r="N250" s="7"/>
      <c r="P250" s="7"/>
      <c r="R250" s="7"/>
    </row>
    <row r="251" spans="1:25" ht="21.6" customHeight="1">
      <c r="A251" s="26" t="e">
        <f>IF(#REF!="","",#REF!)</f>
        <v>#REF!</v>
      </c>
      <c r="B251" s="25" t="e">
        <f>IF(#REF!="","",#REF!)</f>
        <v>#REF!</v>
      </c>
      <c r="D251" s="7"/>
      <c r="F251" s="7"/>
      <c r="H251" s="7"/>
      <c r="J251" s="7"/>
      <c r="L251" s="7"/>
      <c r="N251" s="7"/>
      <c r="P251" s="7"/>
      <c r="R251" s="7"/>
    </row>
    <row r="252" spans="1:25" ht="9" customHeight="1">
      <c r="A252" s="26" t="e">
        <f>IF(#REF!="","",#REF!)</f>
        <v>#REF!</v>
      </c>
      <c r="B252" s="25" t="e">
        <f>IF(#REF!="","",#REF!)</f>
        <v>#REF!</v>
      </c>
      <c r="D252" s="7"/>
      <c r="F252" s="7"/>
      <c r="H252" s="7"/>
      <c r="J252" s="7"/>
      <c r="L252" s="7"/>
      <c r="N252" s="7"/>
      <c r="P252" s="7"/>
      <c r="R252" s="7"/>
    </row>
    <row r="253" spans="1:25" ht="21.6" customHeight="1">
      <c r="A253" s="26" t="e">
        <f>IF(#REF!="","",#REF!)</f>
        <v>#REF!</v>
      </c>
      <c r="B253" s="25" t="e">
        <f>IF(#REF!="","",#REF!)</f>
        <v>#REF!</v>
      </c>
      <c r="D253" s="7"/>
      <c r="F253" s="7"/>
      <c r="H253" s="7"/>
      <c r="J253" s="7"/>
      <c r="L253" s="7"/>
      <c r="N253" s="7"/>
      <c r="P253" s="7"/>
      <c r="R253" s="7"/>
    </row>
    <row r="254" spans="1:25" ht="9" customHeight="1">
      <c r="A254" s="26" t="e">
        <f>IF(#REF!="","",#REF!)</f>
        <v>#REF!</v>
      </c>
      <c r="B254" s="25" t="e">
        <f>IF(#REF!="","",#REF!)</f>
        <v>#REF!</v>
      </c>
      <c r="D254" s="7"/>
      <c r="F254" s="7"/>
      <c r="H254" s="7"/>
      <c r="J254" s="7"/>
      <c r="L254" s="7"/>
      <c r="N254" s="7"/>
      <c r="P254" s="7"/>
      <c r="R254" s="7"/>
    </row>
    <row r="255" spans="1:25" ht="21.6" customHeight="1">
      <c r="A255" s="26" t="e">
        <f>IF(#REF!="","",#REF!)</f>
        <v>#REF!</v>
      </c>
      <c r="B255" s="25" t="e">
        <f>IF(#REF!="","",#REF!)</f>
        <v>#REF!</v>
      </c>
      <c r="D255" s="7"/>
      <c r="F255" s="7"/>
      <c r="H255" s="7"/>
      <c r="J255" s="7"/>
      <c r="L255" s="7"/>
      <c r="N255" s="7"/>
      <c r="P255" s="7"/>
      <c r="R255" s="7"/>
    </row>
    <row r="256" spans="1:25" ht="9" customHeight="1">
      <c r="A256" s="26" t="e">
        <f>IF(#REF!="","",#REF!)</f>
        <v>#REF!</v>
      </c>
      <c r="B256" s="25" t="e">
        <f>IF(#REF!="","",#REF!)</f>
        <v>#REF!</v>
      </c>
      <c r="D256" s="7"/>
      <c r="F256" s="7"/>
      <c r="H256" s="7"/>
      <c r="J256" s="7"/>
      <c r="L256" s="7"/>
      <c r="N256" s="7"/>
      <c r="P256" s="7"/>
      <c r="R256" s="7"/>
    </row>
    <row r="257" spans="1:18" ht="21.6" customHeight="1">
      <c r="A257" s="26" t="e">
        <f>IF(#REF!="","",#REF!)</f>
        <v>#REF!</v>
      </c>
      <c r="B257" s="25" t="e">
        <f>IF(#REF!="","",#REF!)</f>
        <v>#REF!</v>
      </c>
      <c r="D257" s="7"/>
      <c r="F257" s="7"/>
      <c r="H257" s="7"/>
      <c r="J257" s="7"/>
      <c r="L257" s="7"/>
      <c r="N257" s="7"/>
      <c r="P257" s="7"/>
      <c r="R257" s="7"/>
    </row>
    <row r="258" spans="1:18" ht="9" customHeight="1">
      <c r="A258" s="26" t="e">
        <f>IF(#REF!="","",#REF!)</f>
        <v>#REF!</v>
      </c>
      <c r="B258" s="25" t="e">
        <f>IF(#REF!="","",#REF!)</f>
        <v>#REF!</v>
      </c>
      <c r="D258" s="7"/>
      <c r="F258" s="7"/>
      <c r="H258" s="7"/>
      <c r="J258" s="7"/>
      <c r="L258" s="7"/>
      <c r="N258" s="7"/>
      <c r="P258" s="7"/>
      <c r="R258" s="7"/>
    </row>
    <row r="259" spans="1:18" ht="21.6" customHeight="1">
      <c r="A259" s="26" t="e">
        <f>IF(#REF!="","",#REF!)</f>
        <v>#REF!</v>
      </c>
      <c r="B259" s="25" t="e">
        <f>IF(#REF!="","",#REF!)</f>
        <v>#REF!</v>
      </c>
    </row>
    <row r="260" spans="1:18" ht="9" customHeight="1">
      <c r="A260" s="26" t="e">
        <f>IF(#REF!="","",#REF!)</f>
        <v>#REF!</v>
      </c>
      <c r="B260" s="25" t="e">
        <f>IF(#REF!="","",#REF!)</f>
        <v>#REF!</v>
      </c>
    </row>
    <row r="261" spans="1:18" ht="21.6" customHeight="1">
      <c r="A261" s="26" t="e">
        <f>IF(#REF!="","",#REF!)</f>
        <v>#REF!</v>
      </c>
      <c r="B261" s="25" t="e">
        <f>IF(#REF!="","",#REF!)</f>
        <v>#REF!</v>
      </c>
    </row>
    <row r="262" spans="1:18" ht="9" customHeight="1">
      <c r="A262" s="26" t="e">
        <f>IF(#REF!="","",#REF!)</f>
        <v>#REF!</v>
      </c>
      <c r="B262" s="25" t="e">
        <f>IF(#REF!="","",#REF!)</f>
        <v>#REF!</v>
      </c>
    </row>
    <row r="263" spans="1:18" ht="21.6" customHeight="1">
      <c r="A263" s="26" t="e">
        <f>IF(#REF!="","",#REF!)</f>
        <v>#REF!</v>
      </c>
      <c r="B263" s="25" t="e">
        <f>IF(#REF!="","",#REF!)</f>
        <v>#REF!</v>
      </c>
    </row>
    <row r="264" spans="1:18" ht="9" customHeight="1">
      <c r="A264" s="26" t="e">
        <f>IF(#REF!="","",#REF!)</f>
        <v>#REF!</v>
      </c>
      <c r="B264" s="25" t="e">
        <f>IF(#REF!="","",#REF!)</f>
        <v>#REF!</v>
      </c>
    </row>
    <row r="265" spans="1:18" ht="21.6" customHeight="1">
      <c r="A265" s="26" t="e">
        <f>IF(#REF!="","",#REF!)</f>
        <v>#REF!</v>
      </c>
      <c r="B265" s="25" t="e">
        <f>IF(#REF!="","",#REF!)</f>
        <v>#REF!</v>
      </c>
    </row>
    <row r="266" spans="1:18" ht="9" customHeight="1">
      <c r="A266" s="26" t="e">
        <f>IF(#REF!="","",#REF!)</f>
        <v>#REF!</v>
      </c>
      <c r="B266" s="25" t="e">
        <f>IF(#REF!="","",#REF!)</f>
        <v>#REF!</v>
      </c>
    </row>
    <row r="267" spans="1:18" ht="21.6" customHeight="1">
      <c r="A267" s="26" t="e">
        <f>IF(#REF!="","",#REF!)</f>
        <v>#REF!</v>
      </c>
      <c r="B267" s="25" t="e">
        <f>IF(#REF!="","",#REF!)</f>
        <v>#REF!</v>
      </c>
    </row>
    <row r="268" spans="1:18" ht="9" customHeight="1">
      <c r="A268" s="26" t="e">
        <f>IF(#REF!="","",#REF!)</f>
        <v>#REF!</v>
      </c>
      <c r="B268" s="25" t="e">
        <f>IF(#REF!="","",#REF!)</f>
        <v>#REF!</v>
      </c>
    </row>
    <row r="269" spans="1:18" ht="21.6" customHeight="1">
      <c r="A269" s="26" t="e">
        <f>IF(#REF!="","",#REF!)</f>
        <v>#REF!</v>
      </c>
      <c r="B269" s="25" t="e">
        <f>IF(#REF!="","",#REF!)</f>
        <v>#REF!</v>
      </c>
    </row>
    <row r="270" spans="1:18" ht="9" customHeight="1">
      <c r="A270" s="26" t="e">
        <f>IF(#REF!="","",#REF!)</f>
        <v>#REF!</v>
      </c>
      <c r="B270" s="25" t="e">
        <f>IF(#REF!="","",#REF!)</f>
        <v>#REF!</v>
      </c>
      <c r="D270" s="7"/>
      <c r="F270" s="7"/>
      <c r="H270" s="7"/>
      <c r="J270" s="7"/>
      <c r="L270" s="7"/>
      <c r="N270" s="7"/>
      <c r="P270" s="7"/>
      <c r="R270" s="7"/>
    </row>
    <row r="271" spans="1:18" ht="21.6" customHeight="1">
      <c r="A271" s="26" t="e">
        <f>IF(#REF!="","",#REF!)</f>
        <v>#REF!</v>
      </c>
      <c r="B271" s="25" t="e">
        <f>IF(#REF!="","",#REF!)</f>
        <v>#REF!</v>
      </c>
      <c r="D271" s="7"/>
      <c r="F271" s="7"/>
      <c r="H271" s="7"/>
      <c r="J271" s="7"/>
      <c r="L271" s="7"/>
      <c r="N271" s="7"/>
      <c r="P271" s="7"/>
      <c r="R271" s="7"/>
    </row>
    <row r="272" spans="1:18" ht="9" customHeight="1">
      <c r="A272" s="26" t="e">
        <f>IF(#REF!="","",#REF!)</f>
        <v>#REF!</v>
      </c>
      <c r="B272" s="25" t="e">
        <f>IF(#REF!="","",#REF!)</f>
        <v>#REF!</v>
      </c>
      <c r="D272" s="7"/>
      <c r="F272" s="7"/>
      <c r="H272" s="7"/>
      <c r="J272" s="7"/>
      <c r="L272" s="7"/>
      <c r="N272" s="7"/>
      <c r="P272" s="7"/>
      <c r="R272" s="7"/>
    </row>
    <row r="273" spans="1:18" ht="21.6" customHeight="1">
      <c r="A273" s="26" t="e">
        <f>IF(#REF!="","",#REF!)</f>
        <v>#REF!</v>
      </c>
      <c r="B273" s="25" t="e">
        <f>IF(#REF!="","",#REF!)</f>
        <v>#REF!</v>
      </c>
      <c r="D273" s="7"/>
      <c r="F273" s="7"/>
      <c r="H273" s="7"/>
      <c r="J273" s="7"/>
      <c r="L273" s="7"/>
      <c r="N273" s="7"/>
      <c r="P273" s="7"/>
      <c r="R273" s="7"/>
    </row>
    <row r="274" spans="1:18" ht="9" customHeight="1">
      <c r="A274" s="26" t="e">
        <f>IF(#REF!="","",#REF!)</f>
        <v>#REF!</v>
      </c>
      <c r="B274" s="25" t="e">
        <f>IF(#REF!="","",#REF!)</f>
        <v>#REF!</v>
      </c>
      <c r="D274" s="7"/>
      <c r="F274" s="7"/>
      <c r="H274" s="7"/>
      <c r="J274" s="7"/>
      <c r="L274" s="7"/>
      <c r="N274" s="7"/>
      <c r="P274" s="7"/>
      <c r="R274" s="7"/>
    </row>
    <row r="275" spans="1:18" ht="21.6" customHeight="1">
      <c r="A275" s="26" t="e">
        <f>IF(#REF!="","",#REF!)</f>
        <v>#REF!</v>
      </c>
      <c r="B275" s="25" t="e">
        <f>IF(#REF!="","",#REF!)</f>
        <v>#REF!</v>
      </c>
      <c r="D275" s="7"/>
      <c r="F275" s="7"/>
      <c r="H275" s="7"/>
      <c r="J275" s="7"/>
      <c r="L275" s="7"/>
      <c r="N275" s="7"/>
      <c r="P275" s="7"/>
      <c r="R275" s="7"/>
    </row>
    <row r="276" spans="1:18" ht="9" customHeight="1">
      <c r="A276" s="26" t="e">
        <f>IF(#REF!="","",#REF!)</f>
        <v>#REF!</v>
      </c>
      <c r="B276" s="25" t="e">
        <f>IF(#REF!="","",#REF!)</f>
        <v>#REF!</v>
      </c>
      <c r="D276" s="7"/>
      <c r="F276" s="7"/>
      <c r="H276" s="7"/>
      <c r="J276" s="7"/>
      <c r="L276" s="7"/>
      <c r="N276" s="7"/>
      <c r="P276" s="7"/>
      <c r="R276" s="7"/>
    </row>
    <row r="277" spans="1:18" ht="21.6" customHeight="1">
      <c r="A277" s="26" t="e">
        <f>IF(#REF!="","",#REF!)</f>
        <v>#REF!</v>
      </c>
      <c r="B277" s="25" t="e">
        <f>IF(#REF!="","",#REF!)</f>
        <v>#REF!</v>
      </c>
      <c r="D277" s="7"/>
      <c r="F277" s="7"/>
      <c r="H277" s="7"/>
      <c r="J277" s="7"/>
      <c r="L277" s="7"/>
      <c r="N277" s="7"/>
      <c r="P277" s="7"/>
      <c r="R277" s="7"/>
    </row>
    <row r="278" spans="1:18" ht="9" customHeight="1">
      <c r="A278" s="26" t="e">
        <f>IF(#REF!="","",#REF!)</f>
        <v>#REF!</v>
      </c>
      <c r="B278" s="25" t="e">
        <f>IF(#REF!="","",#REF!)</f>
        <v>#REF!</v>
      </c>
      <c r="D278" s="7"/>
      <c r="F278" s="7"/>
      <c r="H278" s="7"/>
      <c r="J278" s="7"/>
      <c r="L278" s="7"/>
      <c r="N278" s="7"/>
      <c r="P278" s="7"/>
      <c r="R278" s="7"/>
    </row>
    <row r="279" spans="1:18" ht="21.6" customHeight="1">
      <c r="A279" s="26" t="e">
        <f>IF(#REF!="","",#REF!)</f>
        <v>#REF!</v>
      </c>
      <c r="B279" s="25" t="e">
        <f>IF(#REF!="","",#REF!)</f>
        <v>#REF!</v>
      </c>
    </row>
    <row r="280" spans="1:18" ht="9" customHeight="1">
      <c r="A280" s="26" t="e">
        <f>IF(#REF!="","",#REF!)</f>
        <v>#REF!</v>
      </c>
      <c r="B280" s="25" t="e">
        <f>IF(#REF!="","",#REF!)</f>
        <v>#REF!</v>
      </c>
    </row>
    <row r="281" spans="1:18" ht="21.6" customHeight="1">
      <c r="A281" s="26" t="e">
        <f>IF(#REF!="","",#REF!)</f>
        <v>#REF!</v>
      </c>
      <c r="B281" s="25" t="e">
        <f>IF(#REF!="","",#REF!)</f>
        <v>#REF!</v>
      </c>
    </row>
    <row r="282" spans="1:18" ht="9" customHeight="1">
      <c r="A282" s="26" t="e">
        <f>IF(#REF!="","",#REF!)</f>
        <v>#REF!</v>
      </c>
      <c r="B282" s="25" t="e">
        <f>IF(#REF!="","",#REF!)</f>
        <v>#REF!</v>
      </c>
    </row>
    <row r="283" spans="1:18" ht="21.6" customHeight="1">
      <c r="A283" s="26" t="e">
        <f>IF(#REF!="","",#REF!)</f>
        <v>#REF!</v>
      </c>
      <c r="B283" s="25" t="e">
        <f>IF(#REF!="","",#REF!)</f>
        <v>#REF!</v>
      </c>
    </row>
    <row r="284" spans="1:18" ht="9" customHeight="1">
      <c r="A284" s="26" t="e">
        <f>IF(#REF!="","",#REF!)</f>
        <v>#REF!</v>
      </c>
      <c r="B284" s="25" t="e">
        <f>IF(#REF!="","",#REF!)</f>
        <v>#REF!</v>
      </c>
    </row>
    <row r="285" spans="1:18" ht="21.6" customHeight="1">
      <c r="A285" s="26" t="e">
        <f>IF(#REF!="","",#REF!)</f>
        <v>#REF!</v>
      </c>
      <c r="B285" s="25" t="e">
        <f>IF(#REF!="","",#REF!)</f>
        <v>#REF!</v>
      </c>
    </row>
    <row r="286" spans="1:18" ht="9" customHeight="1">
      <c r="A286" s="26" t="e">
        <f>IF(#REF!="","",#REF!)</f>
        <v>#REF!</v>
      </c>
      <c r="B286" s="25" t="e">
        <f>IF(#REF!="","",#REF!)</f>
        <v>#REF!</v>
      </c>
    </row>
    <row r="287" spans="1:18" ht="21.6" customHeight="1">
      <c r="A287" s="26" t="e">
        <f>IF(#REF!="","",#REF!)</f>
        <v>#REF!</v>
      </c>
      <c r="B287" s="25" t="e">
        <f>IF(#REF!="","",#REF!)</f>
        <v>#REF!</v>
      </c>
    </row>
    <row r="288" spans="1:18" ht="9" customHeight="1">
      <c r="A288" s="26" t="e">
        <f>IF(#REF!="","",#REF!)</f>
        <v>#REF!</v>
      </c>
      <c r="B288" s="25" t="e">
        <f>IF(#REF!="","",#REF!)</f>
        <v>#REF!</v>
      </c>
    </row>
    <row r="289" spans="1:18" ht="21.6" customHeight="1">
      <c r="A289" s="26" t="e">
        <f>IF(#REF!="","",#REF!)</f>
        <v>#REF!</v>
      </c>
      <c r="B289" s="25" t="e">
        <f>IF(#REF!="","",#REF!)</f>
        <v>#REF!</v>
      </c>
    </row>
    <row r="290" spans="1:18" ht="9" customHeight="1">
      <c r="A290" s="26" t="e">
        <f>IF(#REF!="","",#REF!)</f>
        <v>#REF!</v>
      </c>
      <c r="B290" s="25" t="e">
        <f>IF(#REF!="","",#REF!)</f>
        <v>#REF!</v>
      </c>
      <c r="D290" s="7"/>
      <c r="F290" s="7"/>
      <c r="H290" s="7"/>
      <c r="J290" s="7"/>
      <c r="L290" s="7"/>
      <c r="N290" s="7"/>
      <c r="P290" s="7"/>
      <c r="R290" s="7"/>
    </row>
    <row r="291" spans="1:18" ht="21.6" customHeight="1">
      <c r="A291" s="26" t="e">
        <f>IF(#REF!="","",#REF!)</f>
        <v>#REF!</v>
      </c>
      <c r="B291" s="25" t="e">
        <f>IF(#REF!="","",#REF!)</f>
        <v>#REF!</v>
      </c>
      <c r="D291" s="7"/>
      <c r="F291" s="7"/>
      <c r="H291" s="7"/>
      <c r="J291" s="7"/>
      <c r="L291" s="7"/>
      <c r="N291" s="7"/>
      <c r="P291" s="7"/>
      <c r="R291" s="7"/>
    </row>
    <row r="292" spans="1:18" ht="9" customHeight="1">
      <c r="A292" s="26" t="e">
        <f>IF(#REF!="","",#REF!)</f>
        <v>#REF!</v>
      </c>
      <c r="B292" s="25" t="e">
        <f>IF(#REF!="","",#REF!)</f>
        <v>#REF!</v>
      </c>
      <c r="D292" s="7"/>
      <c r="F292" s="7"/>
      <c r="H292" s="7"/>
      <c r="J292" s="7"/>
      <c r="L292" s="7"/>
      <c r="N292" s="7"/>
      <c r="P292" s="7"/>
      <c r="R292" s="7"/>
    </row>
    <row r="293" spans="1:18" ht="21.6" customHeight="1">
      <c r="A293" s="26" t="e">
        <f>IF(#REF!="","",#REF!)</f>
        <v>#REF!</v>
      </c>
      <c r="B293" s="25" t="e">
        <f>IF(#REF!="","",#REF!)</f>
        <v>#REF!</v>
      </c>
      <c r="D293" s="7"/>
      <c r="F293" s="7"/>
      <c r="H293" s="7"/>
      <c r="J293" s="7"/>
      <c r="L293" s="7"/>
      <c r="N293" s="7"/>
      <c r="P293" s="7"/>
      <c r="R293" s="7"/>
    </row>
    <row r="294" spans="1:18" ht="9" customHeight="1">
      <c r="A294" s="26" t="e">
        <f>IF(#REF!="","",#REF!)</f>
        <v>#REF!</v>
      </c>
      <c r="B294" s="25" t="e">
        <f>IF(#REF!="","",#REF!)</f>
        <v>#REF!</v>
      </c>
      <c r="D294" s="7"/>
      <c r="F294" s="7"/>
      <c r="H294" s="7"/>
      <c r="J294" s="7"/>
      <c r="L294" s="7"/>
      <c r="N294" s="7"/>
      <c r="P294" s="7"/>
      <c r="R294" s="7"/>
    </row>
    <row r="295" spans="1:18" ht="21.6" customHeight="1">
      <c r="A295" s="26" t="e">
        <f>IF(#REF!="","",#REF!)</f>
        <v>#REF!</v>
      </c>
      <c r="B295" s="25" t="e">
        <f>IF(#REF!="","",#REF!)</f>
        <v>#REF!</v>
      </c>
      <c r="D295" s="7"/>
      <c r="F295" s="7"/>
      <c r="H295" s="7"/>
      <c r="J295" s="7"/>
      <c r="L295" s="7"/>
      <c r="N295" s="7"/>
      <c r="P295" s="7"/>
      <c r="R295" s="7"/>
    </row>
    <row r="296" spans="1:18" ht="9" customHeight="1">
      <c r="A296" s="26" t="e">
        <f>IF(#REF!="","",#REF!)</f>
        <v>#REF!</v>
      </c>
      <c r="B296" s="25" t="e">
        <f>IF(#REF!="","",#REF!)</f>
        <v>#REF!</v>
      </c>
      <c r="D296" s="7"/>
      <c r="F296" s="7"/>
      <c r="H296" s="7"/>
      <c r="J296" s="7"/>
      <c r="L296" s="7"/>
      <c r="N296" s="7"/>
      <c r="P296" s="7"/>
      <c r="R296" s="7"/>
    </row>
    <row r="297" spans="1:18" ht="21.6" customHeight="1">
      <c r="A297" s="26" t="e">
        <f>IF(#REF!="","",#REF!)</f>
        <v>#REF!</v>
      </c>
      <c r="B297" s="25" t="e">
        <f>IF(#REF!="","",#REF!)</f>
        <v>#REF!</v>
      </c>
      <c r="D297" s="7"/>
      <c r="F297" s="7"/>
      <c r="H297" s="7"/>
      <c r="J297" s="7"/>
      <c r="L297" s="7"/>
      <c r="N297" s="7"/>
      <c r="P297" s="7"/>
      <c r="R297" s="7"/>
    </row>
    <row r="298" spans="1:18" ht="9" customHeight="1">
      <c r="A298" s="26" t="e">
        <f>IF(#REF!="","",#REF!)</f>
        <v>#REF!</v>
      </c>
      <c r="B298" s="25" t="e">
        <f>IF(#REF!="","",#REF!)</f>
        <v>#REF!</v>
      </c>
      <c r="D298" s="7"/>
      <c r="F298" s="7"/>
      <c r="H298" s="7"/>
      <c r="J298" s="7"/>
      <c r="L298" s="7"/>
      <c r="N298" s="7"/>
      <c r="P298" s="7"/>
      <c r="R298" s="7"/>
    </row>
    <row r="299" spans="1:18" ht="21.6" customHeight="1">
      <c r="A299" s="26" t="e">
        <f>IF(#REF!="","",#REF!)</f>
        <v>#REF!</v>
      </c>
      <c r="B299" s="25" t="e">
        <f>IF(#REF!="","",#REF!)</f>
        <v>#REF!</v>
      </c>
    </row>
    <row r="300" spans="1:18" ht="9" customHeight="1">
      <c r="A300" s="26" t="e">
        <f>IF(#REF!="","",#REF!)</f>
        <v>#REF!</v>
      </c>
      <c r="B300" s="25" t="e">
        <f>IF(#REF!="","",#REF!)</f>
        <v>#REF!</v>
      </c>
    </row>
    <row r="301" spans="1:18" ht="21.6" customHeight="1">
      <c r="A301" s="26" t="e">
        <f>IF(#REF!="","",#REF!)</f>
        <v>#REF!</v>
      </c>
      <c r="B301" s="25" t="e">
        <f>IF(#REF!="","",#REF!)</f>
        <v>#REF!</v>
      </c>
    </row>
    <row r="302" spans="1:18" ht="9" customHeight="1">
      <c r="A302" s="26" t="e">
        <f>IF(#REF!="","",#REF!)</f>
        <v>#REF!</v>
      </c>
      <c r="B302" s="25" t="e">
        <f>IF(#REF!="","",#REF!)</f>
        <v>#REF!</v>
      </c>
    </row>
    <row r="303" spans="1:18" ht="21.6" customHeight="1">
      <c r="A303" s="26" t="e">
        <f>IF(#REF!="","",#REF!)</f>
        <v>#REF!</v>
      </c>
      <c r="B303" s="25" t="e">
        <f>IF(#REF!="","",#REF!)</f>
        <v>#REF!</v>
      </c>
    </row>
    <row r="304" spans="1:18" ht="9" customHeight="1">
      <c r="A304" s="26" t="e">
        <f>IF(#REF!="","",#REF!)</f>
        <v>#REF!</v>
      </c>
      <c r="B304" s="25" t="e">
        <f>IF(#REF!="","",#REF!)</f>
        <v>#REF!</v>
      </c>
    </row>
    <row r="305" spans="1:18" ht="21.6" customHeight="1">
      <c r="A305" s="26" t="e">
        <f>IF(#REF!="","",#REF!)</f>
        <v>#REF!</v>
      </c>
      <c r="B305" s="25" t="e">
        <f>IF(#REF!="","",#REF!)</f>
        <v>#REF!</v>
      </c>
    </row>
    <row r="306" spans="1:18" ht="9" customHeight="1">
      <c r="A306" s="26" t="e">
        <f>IF(#REF!="","",#REF!)</f>
        <v>#REF!</v>
      </c>
      <c r="B306" s="25" t="e">
        <f>IF(#REF!="","",#REF!)</f>
        <v>#REF!</v>
      </c>
    </row>
    <row r="307" spans="1:18" ht="21.6" customHeight="1">
      <c r="A307" s="26" t="e">
        <f>IF(#REF!="","",#REF!)</f>
        <v>#REF!</v>
      </c>
      <c r="B307" s="25" t="e">
        <f>IF(#REF!="","",#REF!)</f>
        <v>#REF!</v>
      </c>
    </row>
    <row r="308" spans="1:18" ht="9" customHeight="1">
      <c r="A308" s="26" t="e">
        <f>IF(#REF!="","",#REF!)</f>
        <v>#REF!</v>
      </c>
      <c r="B308" s="25" t="e">
        <f>IF(#REF!="","",#REF!)</f>
        <v>#REF!</v>
      </c>
    </row>
    <row r="309" spans="1:18" ht="21.6" customHeight="1">
      <c r="A309" s="26" t="e">
        <f>IF(#REF!="","",#REF!)</f>
        <v>#REF!</v>
      </c>
      <c r="B309" s="25" t="e">
        <f>IF(#REF!="","",#REF!)</f>
        <v>#REF!</v>
      </c>
    </row>
    <row r="310" spans="1:18" ht="9" customHeight="1">
      <c r="A310" s="26" t="e">
        <f>IF(#REF!="","",#REF!)</f>
        <v>#REF!</v>
      </c>
      <c r="B310" s="25" t="e">
        <f>IF(#REF!="","",#REF!)</f>
        <v>#REF!</v>
      </c>
      <c r="D310" s="7"/>
      <c r="F310" s="7"/>
      <c r="H310" s="7"/>
      <c r="J310" s="7"/>
      <c r="L310" s="7"/>
      <c r="N310" s="7"/>
      <c r="P310" s="7"/>
      <c r="R310" s="7"/>
    </row>
    <row r="311" spans="1:18" ht="21.6" customHeight="1">
      <c r="A311" s="26" t="e">
        <f>IF(#REF!="","",#REF!)</f>
        <v>#REF!</v>
      </c>
      <c r="B311" s="25" t="e">
        <f>IF(#REF!="","",#REF!)</f>
        <v>#REF!</v>
      </c>
      <c r="D311" s="7"/>
      <c r="F311" s="7"/>
      <c r="H311" s="7"/>
      <c r="J311" s="7"/>
      <c r="L311" s="7"/>
      <c r="N311" s="7"/>
      <c r="P311" s="7"/>
      <c r="R311" s="7"/>
    </row>
    <row r="312" spans="1:18" ht="9" customHeight="1">
      <c r="A312" s="26" t="e">
        <f>IF(#REF!="","",#REF!)</f>
        <v>#REF!</v>
      </c>
      <c r="B312" s="25" t="e">
        <f>IF(#REF!="","",#REF!)</f>
        <v>#REF!</v>
      </c>
      <c r="D312" s="7"/>
      <c r="F312" s="7"/>
      <c r="H312" s="7"/>
      <c r="J312" s="7"/>
      <c r="L312" s="7"/>
      <c r="N312" s="7"/>
      <c r="P312" s="7"/>
      <c r="R312" s="7"/>
    </row>
    <row r="313" spans="1:18" ht="21.6" customHeight="1">
      <c r="A313" s="26" t="e">
        <f>IF(#REF!="","",#REF!)</f>
        <v>#REF!</v>
      </c>
      <c r="B313" s="25" t="e">
        <f>IF(#REF!="","",#REF!)</f>
        <v>#REF!</v>
      </c>
      <c r="D313" s="7"/>
      <c r="F313" s="7"/>
      <c r="H313" s="7"/>
      <c r="J313" s="7"/>
      <c r="L313" s="7"/>
      <c r="N313" s="7"/>
      <c r="P313" s="7"/>
      <c r="R313" s="7"/>
    </row>
    <row r="314" spans="1:18" ht="9" customHeight="1">
      <c r="A314" s="26" t="e">
        <f>IF(#REF!="","",#REF!)</f>
        <v>#REF!</v>
      </c>
      <c r="B314" s="25" t="e">
        <f>IF(#REF!="","",#REF!)</f>
        <v>#REF!</v>
      </c>
      <c r="D314" s="7"/>
      <c r="F314" s="7"/>
      <c r="H314" s="7"/>
      <c r="J314" s="7"/>
      <c r="L314" s="7"/>
      <c r="N314" s="7"/>
      <c r="P314" s="7"/>
      <c r="R314" s="7"/>
    </row>
    <row r="315" spans="1:18" ht="21.6" customHeight="1">
      <c r="A315" s="26" t="e">
        <f>IF(#REF!="","",#REF!)</f>
        <v>#REF!</v>
      </c>
      <c r="B315" s="25" t="e">
        <f>IF(#REF!="","",#REF!)</f>
        <v>#REF!</v>
      </c>
      <c r="D315" s="7"/>
      <c r="F315" s="7"/>
      <c r="H315" s="7"/>
      <c r="J315" s="7"/>
      <c r="L315" s="7"/>
      <c r="N315" s="7"/>
      <c r="P315" s="7"/>
      <c r="R315" s="7"/>
    </row>
    <row r="316" spans="1:18" ht="9" customHeight="1">
      <c r="A316" s="26" t="e">
        <f>IF(#REF!="","",#REF!)</f>
        <v>#REF!</v>
      </c>
      <c r="B316" s="25" t="e">
        <f>IF(#REF!="","",#REF!)</f>
        <v>#REF!</v>
      </c>
      <c r="D316" s="7"/>
      <c r="F316" s="7"/>
      <c r="H316" s="7"/>
      <c r="J316" s="7"/>
      <c r="L316" s="7"/>
      <c r="N316" s="7"/>
      <c r="P316" s="7"/>
      <c r="R316" s="7"/>
    </row>
    <row r="317" spans="1:18" ht="21.6" customHeight="1">
      <c r="A317" s="26" t="e">
        <f>IF(#REF!="","",#REF!)</f>
        <v>#REF!</v>
      </c>
      <c r="B317" s="25" t="e">
        <f>IF(#REF!="","",#REF!)</f>
        <v>#REF!</v>
      </c>
      <c r="D317" s="7"/>
      <c r="F317" s="7"/>
      <c r="H317" s="7"/>
      <c r="J317" s="7"/>
      <c r="L317" s="7"/>
      <c r="N317" s="7"/>
      <c r="P317" s="7"/>
      <c r="R317" s="7"/>
    </row>
    <row r="318" spans="1:18" ht="9" customHeight="1">
      <c r="A318" s="26" t="e">
        <f>IF(#REF!="","",#REF!)</f>
        <v>#REF!</v>
      </c>
      <c r="B318" s="25" t="e">
        <f>IF(#REF!="","",#REF!)</f>
        <v>#REF!</v>
      </c>
      <c r="D318" s="7"/>
      <c r="F318" s="7"/>
      <c r="H318" s="7"/>
      <c r="J318" s="7"/>
      <c r="L318" s="7"/>
      <c r="N318" s="7"/>
      <c r="P318" s="7"/>
      <c r="R318" s="7"/>
    </row>
    <row r="319" spans="1:18" ht="21.6" customHeight="1">
      <c r="A319" s="26" t="e">
        <f>IF(#REF!="","",#REF!)</f>
        <v>#REF!</v>
      </c>
      <c r="B319" s="25" t="e">
        <f>IF(#REF!="","",#REF!)</f>
        <v>#REF!</v>
      </c>
    </row>
    <row r="320" spans="1:18" ht="9" customHeight="1">
      <c r="A320" s="26" t="e">
        <f>IF(#REF!="","",#REF!)</f>
        <v>#REF!</v>
      </c>
      <c r="B320" s="25" t="e">
        <f>IF(#REF!="","",#REF!)</f>
        <v>#REF!</v>
      </c>
    </row>
    <row r="321" spans="1:18" ht="21.6" customHeight="1">
      <c r="A321" s="26" t="e">
        <f>IF(#REF!="","",#REF!)</f>
        <v>#REF!</v>
      </c>
      <c r="B321" s="25" t="e">
        <f>IF(#REF!="","",#REF!)</f>
        <v>#REF!</v>
      </c>
    </row>
    <row r="322" spans="1:18" ht="9" customHeight="1">
      <c r="A322" s="26" t="e">
        <f>IF(#REF!="","",#REF!)</f>
        <v>#REF!</v>
      </c>
      <c r="B322" s="25" t="e">
        <f>IF(#REF!="","",#REF!)</f>
        <v>#REF!</v>
      </c>
    </row>
    <row r="323" spans="1:18" ht="21.6" customHeight="1">
      <c r="A323" s="26" t="e">
        <f>IF(#REF!="","",#REF!)</f>
        <v>#REF!</v>
      </c>
      <c r="B323" s="25" t="e">
        <f>IF(#REF!="","",#REF!)</f>
        <v>#REF!</v>
      </c>
    </row>
    <row r="324" spans="1:18" ht="9" customHeight="1">
      <c r="A324" s="26" t="e">
        <f>IF(#REF!="","",#REF!)</f>
        <v>#REF!</v>
      </c>
      <c r="B324" s="25" t="e">
        <f>IF(#REF!="","",#REF!)</f>
        <v>#REF!</v>
      </c>
    </row>
    <row r="325" spans="1:18" ht="21.6" customHeight="1">
      <c r="A325" s="26" t="e">
        <f>IF(#REF!="","",#REF!)</f>
        <v>#REF!</v>
      </c>
      <c r="B325" s="25" t="e">
        <f>IF(#REF!="","",#REF!)</f>
        <v>#REF!</v>
      </c>
    </row>
    <row r="326" spans="1:18" ht="9" customHeight="1">
      <c r="A326" s="26" t="e">
        <f>IF(#REF!="","",#REF!)</f>
        <v>#REF!</v>
      </c>
      <c r="B326" s="25" t="e">
        <f>IF(#REF!="","",#REF!)</f>
        <v>#REF!</v>
      </c>
    </row>
    <row r="327" spans="1:18" ht="21.6" customHeight="1">
      <c r="A327" s="26" t="e">
        <f>IF(#REF!="","",#REF!)</f>
        <v>#REF!</v>
      </c>
      <c r="B327" s="25" t="e">
        <f>IF(#REF!="","",#REF!)</f>
        <v>#REF!</v>
      </c>
    </row>
    <row r="328" spans="1:18" ht="9" customHeight="1">
      <c r="A328" s="26" t="e">
        <f>IF(#REF!="","",#REF!)</f>
        <v>#REF!</v>
      </c>
      <c r="B328" s="25" t="e">
        <f>IF(#REF!="","",#REF!)</f>
        <v>#REF!</v>
      </c>
    </row>
    <row r="329" spans="1:18" ht="21.6" customHeight="1">
      <c r="A329" s="26" t="e">
        <f>IF(#REF!="","",#REF!)</f>
        <v>#REF!</v>
      </c>
      <c r="B329" s="25" t="e">
        <f>IF(#REF!="","",#REF!)</f>
        <v>#REF!</v>
      </c>
    </row>
    <row r="330" spans="1:18" ht="9" customHeight="1">
      <c r="A330" s="26" t="e">
        <f>IF(#REF!="","",#REF!)</f>
        <v>#REF!</v>
      </c>
      <c r="B330" s="25" t="e">
        <f>IF(#REF!="","",#REF!)</f>
        <v>#REF!</v>
      </c>
      <c r="D330" s="7"/>
      <c r="F330" s="7"/>
      <c r="H330" s="7"/>
      <c r="J330" s="7"/>
      <c r="L330" s="7"/>
      <c r="N330" s="7"/>
      <c r="P330" s="7"/>
      <c r="R330" s="7"/>
    </row>
    <row r="331" spans="1:18" ht="21.6" customHeight="1">
      <c r="A331" s="26" t="e">
        <f>IF(#REF!="","",#REF!)</f>
        <v>#REF!</v>
      </c>
      <c r="B331" s="25" t="e">
        <f>IF(#REF!="","",#REF!)</f>
        <v>#REF!</v>
      </c>
      <c r="D331" s="7"/>
      <c r="F331" s="7"/>
      <c r="H331" s="7"/>
      <c r="J331" s="7"/>
      <c r="L331" s="7"/>
      <c r="N331" s="7"/>
      <c r="P331" s="7"/>
      <c r="R331" s="7"/>
    </row>
    <row r="332" spans="1:18" ht="9" customHeight="1">
      <c r="A332" s="26" t="e">
        <f>IF(#REF!="","",#REF!)</f>
        <v>#REF!</v>
      </c>
      <c r="B332" s="25" t="e">
        <f>IF(#REF!="","",#REF!)</f>
        <v>#REF!</v>
      </c>
      <c r="D332" s="7"/>
      <c r="F332" s="7"/>
      <c r="H332" s="7"/>
      <c r="J332" s="7"/>
      <c r="L332" s="7"/>
      <c r="N332" s="7"/>
      <c r="P332" s="7"/>
      <c r="R332" s="7"/>
    </row>
    <row r="333" spans="1:18" ht="21.6" customHeight="1">
      <c r="A333" s="26" t="e">
        <f>IF(#REF!="","",#REF!)</f>
        <v>#REF!</v>
      </c>
      <c r="B333" s="25" t="e">
        <f>IF(#REF!="","",#REF!)</f>
        <v>#REF!</v>
      </c>
      <c r="D333" s="7"/>
      <c r="F333" s="7"/>
      <c r="H333" s="7"/>
      <c r="J333" s="7"/>
      <c r="L333" s="7"/>
      <c r="N333" s="7"/>
      <c r="P333" s="7"/>
      <c r="R333" s="7"/>
    </row>
    <row r="334" spans="1:18" ht="9" customHeight="1">
      <c r="A334" s="26" t="e">
        <f>IF(#REF!="","",#REF!)</f>
        <v>#REF!</v>
      </c>
      <c r="B334" s="25" t="e">
        <f>IF(#REF!="","",#REF!)</f>
        <v>#REF!</v>
      </c>
      <c r="D334" s="7"/>
      <c r="F334" s="7"/>
      <c r="H334" s="7"/>
      <c r="J334" s="7"/>
      <c r="L334" s="7"/>
      <c r="N334" s="7"/>
      <c r="P334" s="7"/>
      <c r="R334" s="7"/>
    </row>
    <row r="335" spans="1:18" ht="21.6" customHeight="1">
      <c r="A335" s="26" t="e">
        <f>IF(#REF!="","",#REF!)</f>
        <v>#REF!</v>
      </c>
      <c r="B335" s="25" t="e">
        <f>IF(#REF!="","",#REF!)</f>
        <v>#REF!</v>
      </c>
      <c r="D335" s="7"/>
      <c r="F335" s="7"/>
      <c r="H335" s="7"/>
      <c r="J335" s="7"/>
      <c r="L335" s="7"/>
      <c r="N335" s="7"/>
      <c r="P335" s="7"/>
      <c r="R335" s="7"/>
    </row>
    <row r="336" spans="1:18" ht="9" customHeight="1">
      <c r="A336" s="26" t="e">
        <f>IF(#REF!="","",#REF!)</f>
        <v>#REF!</v>
      </c>
      <c r="B336" s="25" t="e">
        <f>IF(#REF!="","",#REF!)</f>
        <v>#REF!</v>
      </c>
      <c r="D336" s="7"/>
      <c r="F336" s="7"/>
      <c r="H336" s="7"/>
      <c r="J336" s="7"/>
      <c r="L336" s="7"/>
      <c r="N336" s="7"/>
      <c r="P336" s="7"/>
      <c r="R336" s="7"/>
    </row>
    <row r="337" spans="1:18" ht="21.6" customHeight="1">
      <c r="A337" s="26" t="e">
        <f>IF(#REF!="","",#REF!)</f>
        <v>#REF!</v>
      </c>
      <c r="B337" s="25" t="e">
        <f>IF(#REF!="","",#REF!)</f>
        <v>#REF!</v>
      </c>
      <c r="D337" s="7"/>
      <c r="F337" s="7"/>
      <c r="H337" s="7"/>
      <c r="J337" s="7"/>
      <c r="L337" s="7"/>
      <c r="N337" s="7"/>
      <c r="P337" s="7"/>
      <c r="R337" s="7"/>
    </row>
    <row r="338" spans="1:18" ht="9" customHeight="1">
      <c r="A338" s="26" t="e">
        <f>IF(#REF!="","",#REF!)</f>
        <v>#REF!</v>
      </c>
      <c r="B338" s="25" t="e">
        <f>IF(#REF!="","",#REF!)</f>
        <v>#REF!</v>
      </c>
      <c r="D338" s="7"/>
      <c r="F338" s="7"/>
      <c r="H338" s="7"/>
      <c r="J338" s="7"/>
      <c r="L338" s="7"/>
      <c r="N338" s="7"/>
      <c r="P338" s="7"/>
      <c r="R338" s="7"/>
    </row>
    <row r="339" spans="1:18" ht="21.6" customHeight="1">
      <c r="A339" s="26" t="e">
        <f>IF(#REF!="","",#REF!)</f>
        <v>#REF!</v>
      </c>
      <c r="B339" s="25" t="e">
        <f>IF(#REF!="","",#REF!)</f>
        <v>#REF!</v>
      </c>
    </row>
    <row r="340" spans="1:18" ht="9" customHeight="1">
      <c r="A340" s="26" t="e">
        <f>IF(#REF!="","",#REF!)</f>
        <v>#REF!</v>
      </c>
      <c r="B340" s="25" t="e">
        <f>IF(#REF!="","",#REF!)</f>
        <v>#REF!</v>
      </c>
    </row>
    <row r="341" spans="1:18" ht="21.6" customHeight="1">
      <c r="A341" s="26" t="e">
        <f>IF(#REF!="","",#REF!)</f>
        <v>#REF!</v>
      </c>
      <c r="B341" s="25" t="e">
        <f>IF(#REF!="","",#REF!)</f>
        <v>#REF!</v>
      </c>
    </row>
    <row r="342" spans="1:18" ht="9" customHeight="1">
      <c r="A342" s="26" t="e">
        <f>IF(#REF!="","",#REF!)</f>
        <v>#REF!</v>
      </c>
      <c r="B342" s="25" t="e">
        <f>IF(#REF!="","",#REF!)</f>
        <v>#REF!</v>
      </c>
    </row>
    <row r="343" spans="1:18" ht="21.6" customHeight="1">
      <c r="A343" s="26" t="e">
        <f>IF(#REF!="","",#REF!)</f>
        <v>#REF!</v>
      </c>
      <c r="B343" s="25" t="e">
        <f>IF(#REF!="","",#REF!)</f>
        <v>#REF!</v>
      </c>
    </row>
    <row r="344" spans="1:18" ht="9" customHeight="1">
      <c r="A344" s="26" t="e">
        <f>IF(#REF!="","",#REF!)</f>
        <v>#REF!</v>
      </c>
      <c r="B344" s="25" t="e">
        <f>IF(#REF!="","",#REF!)</f>
        <v>#REF!</v>
      </c>
    </row>
    <row r="345" spans="1:18" ht="21.6" customHeight="1">
      <c r="A345" s="26" t="e">
        <f>IF(#REF!="","",#REF!)</f>
        <v>#REF!</v>
      </c>
      <c r="B345" s="25" t="e">
        <f>IF(#REF!="","",#REF!)</f>
        <v>#REF!</v>
      </c>
    </row>
    <row r="346" spans="1:18" ht="9" customHeight="1">
      <c r="A346" s="26" t="e">
        <f>IF(#REF!="","",#REF!)</f>
        <v>#REF!</v>
      </c>
      <c r="B346" s="25" t="e">
        <f>IF(#REF!="","",#REF!)</f>
        <v>#REF!</v>
      </c>
    </row>
    <row r="347" spans="1:18" ht="21.6" customHeight="1">
      <c r="A347" s="26" t="e">
        <f>IF(#REF!="","",#REF!)</f>
        <v>#REF!</v>
      </c>
      <c r="B347" s="25" t="e">
        <f>IF(#REF!="","",#REF!)</f>
        <v>#REF!</v>
      </c>
    </row>
    <row r="348" spans="1:18" ht="9" customHeight="1">
      <c r="A348" s="26" t="e">
        <f>IF(#REF!="","",#REF!)</f>
        <v>#REF!</v>
      </c>
      <c r="B348" s="25" t="e">
        <f>IF(#REF!="","",#REF!)</f>
        <v>#REF!</v>
      </c>
    </row>
    <row r="349" spans="1:18" ht="21.6" customHeight="1">
      <c r="A349" s="26" t="e">
        <f>IF(#REF!="","",#REF!)</f>
        <v>#REF!</v>
      </c>
      <c r="B349" s="25" t="e">
        <f>IF(#REF!="","",#REF!)</f>
        <v>#REF!</v>
      </c>
    </row>
    <row r="350" spans="1:18" ht="9" customHeight="1">
      <c r="A350" s="26" t="e">
        <f>IF(#REF!="","",#REF!)</f>
        <v>#REF!</v>
      </c>
      <c r="B350" s="25" t="e">
        <f>IF(#REF!="","",#REF!)</f>
        <v>#REF!</v>
      </c>
      <c r="D350" s="7"/>
      <c r="F350" s="7"/>
      <c r="H350" s="7"/>
      <c r="J350" s="7"/>
      <c r="L350" s="7"/>
      <c r="N350" s="7"/>
      <c r="P350" s="7"/>
      <c r="R350" s="7"/>
    </row>
    <row r="351" spans="1:18" ht="21.6" customHeight="1">
      <c r="A351" s="26" t="e">
        <f>IF(#REF!="","",#REF!)</f>
        <v>#REF!</v>
      </c>
      <c r="B351" s="25" t="e">
        <f>IF(#REF!="","",#REF!)</f>
        <v>#REF!</v>
      </c>
      <c r="D351" s="7"/>
      <c r="F351" s="7"/>
      <c r="H351" s="7"/>
      <c r="J351" s="7"/>
      <c r="L351" s="7"/>
      <c r="N351" s="7"/>
      <c r="P351" s="7"/>
      <c r="R351" s="7"/>
    </row>
    <row r="352" spans="1:18" ht="9" customHeight="1">
      <c r="A352" s="26" t="e">
        <f>IF(#REF!="","",#REF!)</f>
        <v>#REF!</v>
      </c>
      <c r="B352" s="25" t="e">
        <f>IF(#REF!="","",#REF!)</f>
        <v>#REF!</v>
      </c>
      <c r="D352" s="7"/>
      <c r="F352" s="7"/>
      <c r="H352" s="7"/>
      <c r="J352" s="7"/>
      <c r="L352" s="7"/>
      <c r="N352" s="7"/>
      <c r="P352" s="7"/>
      <c r="R352" s="7"/>
    </row>
    <row r="353" spans="1:18" ht="21.6" customHeight="1">
      <c r="A353" s="26" t="e">
        <f>IF(#REF!="","",#REF!)</f>
        <v>#REF!</v>
      </c>
      <c r="B353" s="25" t="e">
        <f>IF(#REF!="","",#REF!)</f>
        <v>#REF!</v>
      </c>
      <c r="D353" s="7"/>
      <c r="F353" s="7"/>
      <c r="H353" s="7"/>
      <c r="J353" s="7"/>
      <c r="L353" s="7"/>
      <c r="N353" s="7"/>
      <c r="P353" s="7"/>
      <c r="R353" s="7"/>
    </row>
    <row r="354" spans="1:18" ht="9" customHeight="1">
      <c r="A354" s="26" t="e">
        <f>IF(#REF!="","",#REF!)</f>
        <v>#REF!</v>
      </c>
      <c r="B354" s="25" t="e">
        <f>IF(#REF!="","",#REF!)</f>
        <v>#REF!</v>
      </c>
      <c r="D354" s="7"/>
      <c r="F354" s="7"/>
      <c r="H354" s="7"/>
      <c r="J354" s="7"/>
      <c r="L354" s="7"/>
      <c r="N354" s="7"/>
      <c r="P354" s="7"/>
      <c r="R354" s="7"/>
    </row>
    <row r="355" spans="1:18" ht="21.6" customHeight="1">
      <c r="A355" s="26" t="e">
        <f>IF(#REF!="","",#REF!)</f>
        <v>#REF!</v>
      </c>
      <c r="B355" s="25" t="e">
        <f>IF(#REF!="","",#REF!)</f>
        <v>#REF!</v>
      </c>
      <c r="D355" s="7"/>
      <c r="F355" s="7"/>
      <c r="H355" s="7"/>
      <c r="J355" s="7"/>
      <c r="L355" s="7"/>
      <c r="N355" s="7"/>
      <c r="P355" s="7"/>
      <c r="R355" s="7"/>
    </row>
    <row r="356" spans="1:18" ht="9" customHeight="1">
      <c r="A356" s="26" t="e">
        <f>IF(#REF!="","",#REF!)</f>
        <v>#REF!</v>
      </c>
      <c r="B356" s="25" t="e">
        <f>IF(#REF!="","",#REF!)</f>
        <v>#REF!</v>
      </c>
      <c r="D356" s="7"/>
      <c r="F356" s="7"/>
      <c r="H356" s="7"/>
      <c r="J356" s="7"/>
      <c r="L356" s="7"/>
      <c r="N356" s="7"/>
      <c r="P356" s="7"/>
      <c r="R356" s="7"/>
    </row>
    <row r="357" spans="1:18" ht="21.6" customHeight="1">
      <c r="A357" s="26" t="e">
        <f>IF(#REF!="","",#REF!)</f>
        <v>#REF!</v>
      </c>
      <c r="B357" s="25" t="e">
        <f>IF(#REF!="","",#REF!)</f>
        <v>#REF!</v>
      </c>
      <c r="D357" s="7"/>
      <c r="F357" s="7"/>
      <c r="H357" s="7"/>
      <c r="J357" s="7"/>
      <c r="L357" s="7"/>
      <c r="N357" s="7"/>
      <c r="P357" s="7"/>
      <c r="R357" s="7"/>
    </row>
    <row r="358" spans="1:18" ht="9" customHeight="1">
      <c r="A358" s="26" t="e">
        <f>IF(#REF!="","",#REF!)</f>
        <v>#REF!</v>
      </c>
      <c r="B358" s="25" t="e">
        <f>IF(#REF!="","",#REF!)</f>
        <v>#REF!</v>
      </c>
      <c r="D358" s="7"/>
      <c r="F358" s="7"/>
      <c r="H358" s="7"/>
      <c r="J358" s="7"/>
      <c r="L358" s="7"/>
      <c r="N358" s="7"/>
      <c r="P358" s="7"/>
      <c r="R358" s="7"/>
    </row>
    <row r="359" spans="1:18" ht="21.6" customHeight="1">
      <c r="A359" s="26" t="e">
        <f>IF(#REF!="","",#REF!)</f>
        <v>#REF!</v>
      </c>
      <c r="B359" s="25" t="e">
        <f>IF(#REF!="","",#REF!)</f>
        <v>#REF!</v>
      </c>
    </row>
    <row r="360" spans="1:18" ht="9" customHeight="1">
      <c r="A360" s="26" t="e">
        <f>IF(#REF!="","",#REF!)</f>
        <v>#REF!</v>
      </c>
      <c r="B360" s="25" t="e">
        <f>IF(#REF!="","",#REF!)</f>
        <v>#REF!</v>
      </c>
    </row>
    <row r="361" spans="1:18" ht="21.6" customHeight="1">
      <c r="A361" s="26" t="e">
        <f>IF(#REF!="","",#REF!)</f>
        <v>#REF!</v>
      </c>
      <c r="B361" s="25" t="e">
        <f>IF(#REF!="","",#REF!)</f>
        <v>#REF!</v>
      </c>
    </row>
    <row r="362" spans="1:18" ht="9" customHeight="1">
      <c r="A362" s="26" t="e">
        <f>IF(#REF!="","",#REF!)</f>
        <v>#REF!</v>
      </c>
      <c r="B362" s="25" t="e">
        <f>IF(#REF!="","",#REF!)</f>
        <v>#REF!</v>
      </c>
    </row>
    <row r="363" spans="1:18" ht="21.6" customHeight="1">
      <c r="A363" s="26" t="e">
        <f>IF(#REF!="","",#REF!)</f>
        <v>#REF!</v>
      </c>
      <c r="B363" s="25" t="e">
        <f>IF(#REF!="","",#REF!)</f>
        <v>#REF!</v>
      </c>
    </row>
    <row r="364" spans="1:18" ht="9" customHeight="1">
      <c r="A364" s="26" t="e">
        <f>IF(#REF!="","",#REF!)</f>
        <v>#REF!</v>
      </c>
      <c r="B364" s="25" t="e">
        <f>IF(#REF!="","",#REF!)</f>
        <v>#REF!</v>
      </c>
    </row>
    <row r="365" spans="1:18" ht="21.6" customHeight="1">
      <c r="A365" s="26" t="e">
        <f>IF(#REF!="","",#REF!)</f>
        <v>#REF!</v>
      </c>
      <c r="B365" s="25" t="e">
        <f>IF(#REF!="","",#REF!)</f>
        <v>#REF!</v>
      </c>
    </row>
    <row r="366" spans="1:18" ht="9" customHeight="1">
      <c r="A366" s="26" t="e">
        <f>IF(#REF!="","",#REF!)</f>
        <v>#REF!</v>
      </c>
      <c r="B366" s="25" t="e">
        <f>IF(#REF!="","",#REF!)</f>
        <v>#REF!</v>
      </c>
    </row>
    <row r="367" spans="1:18" ht="21.6" customHeight="1">
      <c r="A367" s="26" t="e">
        <f>IF(#REF!="","",#REF!)</f>
        <v>#REF!</v>
      </c>
      <c r="B367" s="25" t="e">
        <f>IF(#REF!="","",#REF!)</f>
        <v>#REF!</v>
      </c>
    </row>
    <row r="368" spans="1:18" ht="9" customHeight="1">
      <c r="A368" s="26" t="e">
        <f>IF(#REF!="","",#REF!)</f>
        <v>#REF!</v>
      </c>
      <c r="B368" s="25" t="e">
        <f>IF(#REF!="","",#REF!)</f>
        <v>#REF!</v>
      </c>
    </row>
    <row r="369" spans="1:18" ht="21.6" customHeight="1">
      <c r="A369" s="26" t="e">
        <f>IF(#REF!="","",#REF!)</f>
        <v>#REF!</v>
      </c>
      <c r="B369" s="25" t="e">
        <f>IF(#REF!="","",#REF!)</f>
        <v>#REF!</v>
      </c>
    </row>
    <row r="370" spans="1:18" ht="9" customHeight="1">
      <c r="A370" s="26" t="e">
        <f>IF(#REF!="","",#REF!)</f>
        <v>#REF!</v>
      </c>
      <c r="B370" s="25" t="e">
        <f>IF(#REF!="","",#REF!)</f>
        <v>#REF!</v>
      </c>
      <c r="D370" s="7"/>
      <c r="F370" s="7"/>
      <c r="H370" s="7"/>
      <c r="J370" s="7"/>
      <c r="L370" s="7"/>
      <c r="N370" s="7"/>
      <c r="P370" s="7"/>
      <c r="R370" s="7"/>
    </row>
    <row r="371" spans="1:18" ht="21.6" customHeight="1">
      <c r="A371" s="26" t="e">
        <f>IF(#REF!="","",#REF!)</f>
        <v>#REF!</v>
      </c>
      <c r="B371" s="25" t="e">
        <f>IF(#REF!="","",#REF!)</f>
        <v>#REF!</v>
      </c>
      <c r="D371" s="7"/>
      <c r="F371" s="7"/>
      <c r="H371" s="7"/>
      <c r="J371" s="7"/>
      <c r="L371" s="7"/>
      <c r="N371" s="7"/>
      <c r="P371" s="7"/>
      <c r="R371" s="7"/>
    </row>
    <row r="372" spans="1:18" ht="9" customHeight="1">
      <c r="A372" s="26" t="e">
        <f>IF(#REF!="","",#REF!)</f>
        <v>#REF!</v>
      </c>
      <c r="B372" s="25" t="e">
        <f>IF(#REF!="","",#REF!)</f>
        <v>#REF!</v>
      </c>
      <c r="D372" s="7"/>
      <c r="F372" s="7"/>
      <c r="H372" s="7"/>
      <c r="J372" s="7"/>
      <c r="L372" s="7"/>
      <c r="N372" s="7"/>
      <c r="P372" s="7"/>
      <c r="R372" s="7"/>
    </row>
    <row r="373" spans="1:18" ht="21.6" customHeight="1">
      <c r="A373" s="26" t="e">
        <f>IF(#REF!="","",#REF!)</f>
        <v>#REF!</v>
      </c>
      <c r="B373" s="25" t="e">
        <f>IF(#REF!="","",#REF!)</f>
        <v>#REF!</v>
      </c>
      <c r="D373" s="7"/>
      <c r="F373" s="7"/>
      <c r="H373" s="7"/>
      <c r="J373" s="7"/>
      <c r="L373" s="7"/>
      <c r="N373" s="7"/>
      <c r="P373" s="7"/>
      <c r="R373" s="7"/>
    </row>
    <row r="374" spans="1:18" ht="9" customHeight="1">
      <c r="A374" s="26" t="e">
        <f>IF(#REF!="","",#REF!)</f>
        <v>#REF!</v>
      </c>
      <c r="B374" s="25" t="e">
        <f>IF(#REF!="","",#REF!)</f>
        <v>#REF!</v>
      </c>
      <c r="D374" s="7"/>
      <c r="F374" s="7"/>
      <c r="H374" s="7"/>
      <c r="J374" s="7"/>
      <c r="L374" s="7"/>
      <c r="N374" s="7"/>
      <c r="P374" s="7"/>
      <c r="R374" s="7"/>
    </row>
    <row r="375" spans="1:18" ht="21.6" customHeight="1">
      <c r="A375" s="26" t="e">
        <f>IF(#REF!="","",#REF!)</f>
        <v>#REF!</v>
      </c>
      <c r="B375" s="25" t="e">
        <f>IF(#REF!="","",#REF!)</f>
        <v>#REF!</v>
      </c>
      <c r="D375" s="7"/>
      <c r="F375" s="7"/>
      <c r="H375" s="7"/>
      <c r="J375" s="7"/>
      <c r="L375" s="7"/>
      <c r="N375" s="7"/>
      <c r="P375" s="7"/>
      <c r="R375" s="7"/>
    </row>
    <row r="376" spans="1:18" ht="9" customHeight="1">
      <c r="A376" s="26" t="e">
        <f>IF(#REF!="","",#REF!)</f>
        <v>#REF!</v>
      </c>
      <c r="B376" s="25" t="e">
        <f>IF(#REF!="","",#REF!)</f>
        <v>#REF!</v>
      </c>
      <c r="D376" s="7"/>
      <c r="F376" s="7"/>
      <c r="H376" s="7"/>
      <c r="J376" s="7"/>
      <c r="L376" s="7"/>
      <c r="N376" s="7"/>
      <c r="P376" s="7"/>
      <c r="R376" s="7"/>
    </row>
    <row r="377" spans="1:18" ht="21.6" customHeight="1">
      <c r="A377" s="26" t="e">
        <f>IF(#REF!="","",#REF!)</f>
        <v>#REF!</v>
      </c>
      <c r="B377" s="25" t="e">
        <f>IF(#REF!="","",#REF!)</f>
        <v>#REF!</v>
      </c>
      <c r="D377" s="7"/>
      <c r="F377" s="7"/>
      <c r="H377" s="7"/>
      <c r="J377" s="7"/>
      <c r="L377" s="7"/>
      <c r="N377" s="7"/>
      <c r="P377" s="7"/>
      <c r="R377" s="7"/>
    </row>
    <row r="378" spans="1:18" ht="9" customHeight="1">
      <c r="A378" s="26" t="e">
        <f>IF(#REF!="","",#REF!)</f>
        <v>#REF!</v>
      </c>
      <c r="B378" s="25" t="e">
        <f>IF(#REF!="","",#REF!)</f>
        <v>#REF!</v>
      </c>
      <c r="D378" s="7"/>
      <c r="F378" s="7"/>
      <c r="H378" s="7"/>
      <c r="J378" s="7"/>
      <c r="L378" s="7"/>
      <c r="N378" s="7"/>
      <c r="P378" s="7"/>
      <c r="R378" s="7"/>
    </row>
    <row r="379" spans="1:18" ht="21.6" customHeight="1">
      <c r="A379" s="26" t="e">
        <f>IF(#REF!="","",#REF!)</f>
        <v>#REF!</v>
      </c>
      <c r="B379" s="25" t="e">
        <f>IF(#REF!="","",#REF!)</f>
        <v>#REF!</v>
      </c>
    </row>
    <row r="380" spans="1:18" ht="9" customHeight="1">
      <c r="A380" s="26" t="e">
        <f>IF(#REF!="","",#REF!)</f>
        <v>#REF!</v>
      </c>
      <c r="B380" s="25" t="e">
        <f>IF(#REF!="","",#REF!)</f>
        <v>#REF!</v>
      </c>
    </row>
    <row r="381" spans="1:18" ht="21.6" customHeight="1">
      <c r="A381" s="26" t="e">
        <f>IF(#REF!="","",#REF!)</f>
        <v>#REF!</v>
      </c>
      <c r="B381" s="25" t="e">
        <f>IF(#REF!="","",#REF!)</f>
        <v>#REF!</v>
      </c>
    </row>
    <row r="382" spans="1:18" ht="9" customHeight="1">
      <c r="A382" s="26" t="e">
        <f>IF(#REF!="","",#REF!)</f>
        <v>#REF!</v>
      </c>
      <c r="B382" s="25" t="e">
        <f>IF(#REF!="","",#REF!)</f>
        <v>#REF!</v>
      </c>
    </row>
    <row r="383" spans="1:18" ht="21.6" customHeight="1">
      <c r="A383" s="26" t="e">
        <f>IF(#REF!="","",#REF!)</f>
        <v>#REF!</v>
      </c>
      <c r="B383" s="25" t="e">
        <f>IF(#REF!="","",#REF!)</f>
        <v>#REF!</v>
      </c>
    </row>
    <row r="384" spans="1:18" ht="9" customHeight="1">
      <c r="A384" s="26" t="e">
        <f>IF(#REF!="","",#REF!)</f>
        <v>#REF!</v>
      </c>
      <c r="B384" s="25" t="e">
        <f>IF(#REF!="","",#REF!)</f>
        <v>#REF!</v>
      </c>
    </row>
    <row r="385" spans="1:18" ht="21.6" customHeight="1">
      <c r="A385" s="26" t="e">
        <f>IF(#REF!="","",#REF!)</f>
        <v>#REF!</v>
      </c>
      <c r="B385" s="25" t="e">
        <f>IF(#REF!="","",#REF!)</f>
        <v>#REF!</v>
      </c>
    </row>
    <row r="386" spans="1:18" ht="9" customHeight="1">
      <c r="A386" s="26" t="e">
        <f>IF(#REF!="","",#REF!)</f>
        <v>#REF!</v>
      </c>
      <c r="B386" s="25" t="e">
        <f>IF(#REF!="","",#REF!)</f>
        <v>#REF!</v>
      </c>
    </row>
    <row r="387" spans="1:18" ht="21.6" customHeight="1">
      <c r="A387" s="26" t="e">
        <f>IF(#REF!="","",#REF!)</f>
        <v>#REF!</v>
      </c>
      <c r="B387" s="25" t="e">
        <f>IF(#REF!="","",#REF!)</f>
        <v>#REF!</v>
      </c>
    </row>
    <row r="388" spans="1:18" ht="9" customHeight="1">
      <c r="A388" s="26" t="e">
        <f>IF(#REF!="","",#REF!)</f>
        <v>#REF!</v>
      </c>
      <c r="B388" s="25" t="e">
        <f>IF(#REF!="","",#REF!)</f>
        <v>#REF!</v>
      </c>
    </row>
    <row r="389" spans="1:18" ht="21.6" customHeight="1">
      <c r="A389" s="26" t="e">
        <f>IF(#REF!="","",#REF!)</f>
        <v>#REF!</v>
      </c>
      <c r="B389" s="25" t="e">
        <f>IF(#REF!="","",#REF!)</f>
        <v>#REF!</v>
      </c>
    </row>
    <row r="390" spans="1:18" ht="9" customHeight="1">
      <c r="A390" s="26" t="e">
        <f>IF(#REF!="","",#REF!)</f>
        <v>#REF!</v>
      </c>
      <c r="B390" s="25" t="e">
        <f>IF(#REF!="","",#REF!)</f>
        <v>#REF!</v>
      </c>
      <c r="D390" s="7"/>
      <c r="F390" s="7"/>
      <c r="H390" s="7"/>
      <c r="J390" s="7"/>
      <c r="L390" s="7"/>
      <c r="N390" s="7"/>
      <c r="P390" s="7"/>
      <c r="R390" s="7"/>
    </row>
    <row r="391" spans="1:18" ht="21.6" customHeight="1">
      <c r="A391" s="26" t="e">
        <f>IF(#REF!="","",#REF!)</f>
        <v>#REF!</v>
      </c>
      <c r="B391" s="25" t="e">
        <f>IF(#REF!="","",#REF!)</f>
        <v>#REF!</v>
      </c>
      <c r="D391" s="7"/>
      <c r="F391" s="7"/>
      <c r="H391" s="7"/>
      <c r="J391" s="7"/>
      <c r="L391" s="7"/>
      <c r="N391" s="7"/>
      <c r="P391" s="7"/>
      <c r="R391" s="7"/>
    </row>
    <row r="392" spans="1:18" ht="9" customHeight="1">
      <c r="A392" s="26" t="e">
        <f>IF(#REF!="","",#REF!)</f>
        <v>#REF!</v>
      </c>
      <c r="B392" s="25" t="e">
        <f>IF(#REF!="","",#REF!)</f>
        <v>#REF!</v>
      </c>
      <c r="D392" s="7"/>
      <c r="F392" s="7"/>
      <c r="H392" s="7"/>
      <c r="J392" s="7"/>
      <c r="L392" s="7"/>
      <c r="N392" s="7"/>
      <c r="P392" s="7"/>
      <c r="R392" s="7"/>
    </row>
    <row r="393" spans="1:18" ht="21.6" customHeight="1">
      <c r="A393" s="26" t="e">
        <f>IF(#REF!="","",#REF!)</f>
        <v>#REF!</v>
      </c>
      <c r="B393" s="25" t="e">
        <f>IF(#REF!="","",#REF!)</f>
        <v>#REF!</v>
      </c>
      <c r="D393" s="7"/>
      <c r="F393" s="7"/>
      <c r="H393" s="7"/>
      <c r="J393" s="7"/>
      <c r="L393" s="7"/>
      <c r="N393" s="7"/>
      <c r="P393" s="7"/>
      <c r="R393" s="7"/>
    </row>
    <row r="394" spans="1:18" ht="9" customHeight="1">
      <c r="A394" s="26" t="e">
        <f>IF(#REF!="","",#REF!)</f>
        <v>#REF!</v>
      </c>
      <c r="B394" s="25" t="e">
        <f>IF(#REF!="","",#REF!)</f>
        <v>#REF!</v>
      </c>
      <c r="D394" s="7"/>
      <c r="F394" s="7"/>
      <c r="H394" s="7"/>
      <c r="J394" s="7"/>
      <c r="L394" s="7"/>
      <c r="N394" s="7"/>
      <c r="P394" s="7"/>
      <c r="R394" s="7"/>
    </row>
    <row r="395" spans="1:18" ht="21.6" customHeight="1">
      <c r="A395" s="26" t="e">
        <f>IF(#REF!="","",#REF!)</f>
        <v>#REF!</v>
      </c>
      <c r="B395" s="25" t="e">
        <f>IF(#REF!="","",#REF!)</f>
        <v>#REF!</v>
      </c>
      <c r="D395" s="7"/>
      <c r="F395" s="7"/>
      <c r="H395" s="7"/>
      <c r="J395" s="7"/>
      <c r="L395" s="7"/>
      <c r="N395" s="7"/>
      <c r="P395" s="7"/>
      <c r="R395" s="7"/>
    </row>
    <row r="396" spans="1:18" ht="9" customHeight="1">
      <c r="A396" s="26" t="e">
        <f>IF(#REF!="","",#REF!)</f>
        <v>#REF!</v>
      </c>
      <c r="B396" s="25" t="e">
        <f>IF(#REF!="","",#REF!)</f>
        <v>#REF!</v>
      </c>
      <c r="D396" s="7"/>
      <c r="F396" s="7"/>
      <c r="H396" s="7"/>
      <c r="J396" s="7"/>
      <c r="L396" s="7"/>
      <c r="N396" s="7"/>
      <c r="P396" s="7"/>
      <c r="R396" s="7"/>
    </row>
    <row r="397" spans="1:18" ht="21.6" customHeight="1">
      <c r="A397" s="26" t="e">
        <f>IF(#REF!="","",#REF!)</f>
        <v>#REF!</v>
      </c>
      <c r="B397" s="25" t="e">
        <f>IF(#REF!="","",#REF!)</f>
        <v>#REF!</v>
      </c>
      <c r="D397" s="7"/>
      <c r="F397" s="7"/>
      <c r="H397" s="7"/>
      <c r="J397" s="7"/>
      <c r="L397" s="7"/>
      <c r="N397" s="7"/>
      <c r="P397" s="7"/>
      <c r="R397" s="7"/>
    </row>
    <row r="398" spans="1:18" ht="9" customHeight="1">
      <c r="A398" s="26" t="e">
        <f>IF(#REF!="","",#REF!)</f>
        <v>#REF!</v>
      </c>
      <c r="B398" s="25" t="e">
        <f>IF(#REF!="","",#REF!)</f>
        <v>#REF!</v>
      </c>
      <c r="D398" s="7"/>
      <c r="F398" s="7"/>
      <c r="H398" s="7"/>
      <c r="J398" s="7"/>
      <c r="L398" s="7"/>
      <c r="N398" s="7"/>
      <c r="P398" s="7"/>
      <c r="R398" s="7"/>
    </row>
    <row r="399" spans="1:18" ht="21.6" customHeight="1">
      <c r="A399" s="26" t="e">
        <f>IF(#REF!="","",#REF!)</f>
        <v>#REF!</v>
      </c>
      <c r="B399" s="25" t="e">
        <f>IF(#REF!="","",#REF!)</f>
        <v>#REF!</v>
      </c>
    </row>
    <row r="400" spans="1:18" ht="9" customHeight="1">
      <c r="A400" s="26" t="e">
        <f>IF(#REF!="","",#REF!)</f>
        <v>#REF!</v>
      </c>
      <c r="B400" s="25" t="e">
        <f>IF(#REF!="","",#REF!)</f>
        <v>#REF!</v>
      </c>
    </row>
    <row r="401" spans="1:18" ht="21.6" customHeight="1">
      <c r="A401" s="26" t="e">
        <f>IF(#REF!="","",#REF!)</f>
        <v>#REF!</v>
      </c>
      <c r="B401" s="25" t="e">
        <f>IF(#REF!="","",#REF!)</f>
        <v>#REF!</v>
      </c>
    </row>
    <row r="402" spans="1:18" ht="9" customHeight="1">
      <c r="A402" s="26" t="e">
        <f>IF(#REF!="","",#REF!)</f>
        <v>#REF!</v>
      </c>
      <c r="B402" s="25" t="e">
        <f>IF(#REF!="","",#REF!)</f>
        <v>#REF!</v>
      </c>
    </row>
    <row r="403" spans="1:18" ht="21.6" customHeight="1">
      <c r="A403" s="26" t="e">
        <f>IF(#REF!="","",#REF!)</f>
        <v>#REF!</v>
      </c>
      <c r="B403" s="25" t="e">
        <f>IF(#REF!="","",#REF!)</f>
        <v>#REF!</v>
      </c>
    </row>
    <row r="404" spans="1:18" ht="9" customHeight="1">
      <c r="A404" s="26" t="e">
        <f>IF(#REF!="","",#REF!)</f>
        <v>#REF!</v>
      </c>
      <c r="B404" s="25" t="e">
        <f>IF(#REF!="","",#REF!)</f>
        <v>#REF!</v>
      </c>
    </row>
    <row r="405" spans="1:18" ht="21.6" customHeight="1">
      <c r="A405" s="26" t="e">
        <f>IF(#REF!="","",#REF!)</f>
        <v>#REF!</v>
      </c>
      <c r="B405" s="25" t="e">
        <f>IF(#REF!="","",#REF!)</f>
        <v>#REF!</v>
      </c>
    </row>
    <row r="406" spans="1:18" ht="9" customHeight="1">
      <c r="A406" s="26" t="e">
        <f>IF(#REF!="","",#REF!)</f>
        <v>#REF!</v>
      </c>
      <c r="B406" s="25" t="e">
        <f>IF(#REF!="","",#REF!)</f>
        <v>#REF!</v>
      </c>
    </row>
    <row r="407" spans="1:18" ht="21.6" customHeight="1">
      <c r="A407" s="26" t="e">
        <f>IF(#REF!="","",#REF!)</f>
        <v>#REF!</v>
      </c>
      <c r="B407" s="25" t="e">
        <f>IF(#REF!="","",#REF!)</f>
        <v>#REF!</v>
      </c>
    </row>
    <row r="408" spans="1:18" ht="9" customHeight="1">
      <c r="A408" s="26" t="e">
        <f>IF(#REF!="","",#REF!)</f>
        <v>#REF!</v>
      </c>
      <c r="B408" s="25" t="e">
        <f>IF(#REF!="","",#REF!)</f>
        <v>#REF!</v>
      </c>
    </row>
    <row r="409" spans="1:18" ht="21.6" customHeight="1">
      <c r="A409" s="26" t="e">
        <f>IF(#REF!="","",#REF!)</f>
        <v>#REF!</v>
      </c>
      <c r="B409" s="25" t="e">
        <f>IF(#REF!="","",#REF!)</f>
        <v>#REF!</v>
      </c>
    </row>
    <row r="410" spans="1:18" ht="9" customHeight="1">
      <c r="A410" s="26" t="e">
        <f>IF(#REF!="","",#REF!)</f>
        <v>#REF!</v>
      </c>
      <c r="B410" s="25" t="e">
        <f>IF(#REF!="","",#REF!)</f>
        <v>#REF!</v>
      </c>
      <c r="D410" s="7"/>
      <c r="F410" s="7"/>
      <c r="H410" s="7"/>
      <c r="J410" s="7"/>
      <c r="L410" s="7"/>
      <c r="N410" s="7"/>
      <c r="P410" s="7"/>
      <c r="R410" s="7"/>
    </row>
    <row r="411" spans="1:18" ht="21.6" customHeight="1">
      <c r="A411" s="26" t="e">
        <f>IF(#REF!="","",#REF!)</f>
        <v>#REF!</v>
      </c>
      <c r="B411" s="25" t="e">
        <f>IF(#REF!="","",#REF!)</f>
        <v>#REF!</v>
      </c>
      <c r="D411" s="7"/>
      <c r="F411" s="7"/>
      <c r="H411" s="7"/>
      <c r="J411" s="7"/>
      <c r="L411" s="7"/>
      <c r="N411" s="7"/>
      <c r="P411" s="7"/>
      <c r="R411" s="7"/>
    </row>
    <row r="412" spans="1:18" ht="9" customHeight="1">
      <c r="A412" s="26" t="e">
        <f>IF(#REF!="","",#REF!)</f>
        <v>#REF!</v>
      </c>
      <c r="B412" s="25" t="e">
        <f>IF(#REF!="","",#REF!)</f>
        <v>#REF!</v>
      </c>
      <c r="D412" s="7"/>
      <c r="F412" s="7"/>
      <c r="H412" s="7"/>
      <c r="J412" s="7"/>
      <c r="L412" s="7"/>
      <c r="N412" s="7"/>
      <c r="P412" s="7"/>
      <c r="R412" s="7"/>
    </row>
    <row r="413" spans="1:18" ht="21.6" customHeight="1">
      <c r="A413" s="26" t="e">
        <f>IF(#REF!="","",#REF!)</f>
        <v>#REF!</v>
      </c>
      <c r="B413" s="25" t="e">
        <f>IF(#REF!="","",#REF!)</f>
        <v>#REF!</v>
      </c>
      <c r="D413" s="7"/>
      <c r="F413" s="7"/>
      <c r="H413" s="7"/>
      <c r="J413" s="7"/>
      <c r="L413" s="7"/>
      <c r="N413" s="7"/>
      <c r="P413" s="7"/>
      <c r="R413" s="7"/>
    </row>
    <row r="414" spans="1:18" ht="9" customHeight="1">
      <c r="A414" s="26" t="e">
        <f>IF(#REF!="","",#REF!)</f>
        <v>#REF!</v>
      </c>
      <c r="B414" s="25" t="e">
        <f>IF(#REF!="","",#REF!)</f>
        <v>#REF!</v>
      </c>
      <c r="D414" s="7"/>
      <c r="F414" s="7"/>
      <c r="H414" s="7"/>
      <c r="J414" s="7"/>
      <c r="L414" s="7"/>
      <c r="N414" s="7"/>
      <c r="P414" s="7"/>
      <c r="R414" s="7"/>
    </row>
    <row r="415" spans="1:18" ht="21.6" customHeight="1">
      <c r="A415" s="26" t="e">
        <f>IF(#REF!="","",#REF!)</f>
        <v>#REF!</v>
      </c>
      <c r="B415" s="25" t="e">
        <f>IF(#REF!="","",#REF!)</f>
        <v>#REF!</v>
      </c>
      <c r="D415" s="7"/>
      <c r="F415" s="7"/>
      <c r="H415" s="7"/>
      <c r="J415" s="7"/>
      <c r="L415" s="7"/>
      <c r="N415" s="7"/>
      <c r="P415" s="7"/>
      <c r="R415" s="7"/>
    </row>
    <row r="416" spans="1:18" ht="9" customHeight="1">
      <c r="A416" s="26" t="e">
        <f>IF(#REF!="","",#REF!)</f>
        <v>#REF!</v>
      </c>
      <c r="B416" s="25" t="e">
        <f>IF(#REF!="","",#REF!)</f>
        <v>#REF!</v>
      </c>
      <c r="D416" s="7"/>
      <c r="F416" s="7"/>
      <c r="H416" s="7"/>
      <c r="J416" s="7"/>
      <c r="L416" s="7"/>
      <c r="N416" s="7"/>
      <c r="P416" s="7"/>
      <c r="R416" s="7"/>
    </row>
    <row r="417" spans="1:18" ht="21.6" customHeight="1">
      <c r="A417" s="26" t="e">
        <f>IF(#REF!="","",#REF!)</f>
        <v>#REF!</v>
      </c>
      <c r="B417" s="25" t="e">
        <f>IF(#REF!="","",#REF!)</f>
        <v>#REF!</v>
      </c>
      <c r="D417" s="7"/>
      <c r="F417" s="7"/>
      <c r="H417" s="7"/>
      <c r="J417" s="7"/>
      <c r="L417" s="7"/>
      <c r="N417" s="7"/>
      <c r="P417" s="7"/>
      <c r="R417" s="7"/>
    </row>
    <row r="418" spans="1:18" ht="9" customHeight="1">
      <c r="A418" s="26" t="e">
        <f>IF(#REF!="","",#REF!)</f>
        <v>#REF!</v>
      </c>
      <c r="B418" s="25" t="e">
        <f>IF(#REF!="","",#REF!)</f>
        <v>#REF!</v>
      </c>
      <c r="D418" s="7"/>
      <c r="F418" s="7"/>
      <c r="H418" s="7"/>
      <c r="J418" s="7"/>
      <c r="L418" s="7"/>
      <c r="N418" s="7"/>
      <c r="P418" s="7"/>
      <c r="R418" s="7"/>
    </row>
    <row r="419" spans="1:18" ht="21.6" customHeight="1">
      <c r="A419" s="26" t="e">
        <f>IF(#REF!="","",#REF!)</f>
        <v>#REF!</v>
      </c>
      <c r="B419" s="25" t="e">
        <f>IF(#REF!="","",#REF!)</f>
        <v>#REF!</v>
      </c>
    </row>
    <row r="420" spans="1:18" ht="9" customHeight="1">
      <c r="A420" s="26" t="e">
        <f>IF(#REF!="","",#REF!)</f>
        <v>#REF!</v>
      </c>
      <c r="B420" s="25" t="e">
        <f>IF(#REF!="","",#REF!)</f>
        <v>#REF!</v>
      </c>
    </row>
    <row r="421" spans="1:18" ht="21.6" customHeight="1">
      <c r="A421" s="26" t="e">
        <f>IF(#REF!="","",#REF!)</f>
        <v>#REF!</v>
      </c>
      <c r="B421" s="25" t="e">
        <f>IF(#REF!="","",#REF!)</f>
        <v>#REF!</v>
      </c>
    </row>
    <row r="422" spans="1:18" ht="9" customHeight="1">
      <c r="A422" s="26" t="e">
        <f>IF(#REF!="","",#REF!)</f>
        <v>#REF!</v>
      </c>
      <c r="B422" s="25" t="e">
        <f>IF(#REF!="","",#REF!)</f>
        <v>#REF!</v>
      </c>
    </row>
    <row r="423" spans="1:18" ht="21.6" customHeight="1">
      <c r="A423" s="26" t="e">
        <f>IF(#REF!="","",#REF!)</f>
        <v>#REF!</v>
      </c>
      <c r="B423" s="25" t="e">
        <f>IF(#REF!="","",#REF!)</f>
        <v>#REF!</v>
      </c>
    </row>
    <row r="424" spans="1:18" ht="9" customHeight="1">
      <c r="A424" s="26" t="e">
        <f>IF(#REF!="","",#REF!)</f>
        <v>#REF!</v>
      </c>
      <c r="B424" s="25" t="e">
        <f>IF(#REF!="","",#REF!)</f>
        <v>#REF!</v>
      </c>
    </row>
    <row r="425" spans="1:18" ht="21.6" customHeight="1">
      <c r="A425" s="26" t="e">
        <f>IF(#REF!="","",#REF!)</f>
        <v>#REF!</v>
      </c>
      <c r="B425" s="25" t="e">
        <f>IF(#REF!="","",#REF!)</f>
        <v>#REF!</v>
      </c>
    </row>
    <row r="426" spans="1:18" ht="9" customHeight="1">
      <c r="A426" s="26" t="e">
        <f>IF(#REF!="","",#REF!)</f>
        <v>#REF!</v>
      </c>
      <c r="B426" s="25" t="e">
        <f>IF(#REF!="","",#REF!)</f>
        <v>#REF!</v>
      </c>
    </row>
    <row r="427" spans="1:18" ht="21.6" customHeight="1">
      <c r="A427" s="26" t="e">
        <f>IF(#REF!="","",#REF!)</f>
        <v>#REF!</v>
      </c>
      <c r="B427" s="25" t="e">
        <f>IF(#REF!="","",#REF!)</f>
        <v>#REF!</v>
      </c>
    </row>
    <row r="428" spans="1:18" ht="9" customHeight="1">
      <c r="A428" s="26" t="e">
        <f>IF(#REF!="","",#REF!)</f>
        <v>#REF!</v>
      </c>
      <c r="B428" s="25" t="e">
        <f>IF(#REF!="","",#REF!)</f>
        <v>#REF!</v>
      </c>
    </row>
    <row r="429" spans="1:18" ht="21.6" customHeight="1">
      <c r="A429" s="26" t="e">
        <f>IF(#REF!="","",#REF!)</f>
        <v>#REF!</v>
      </c>
      <c r="B429" s="25" t="e">
        <f>IF(#REF!="","",#REF!)</f>
        <v>#REF!</v>
      </c>
    </row>
    <row r="430" spans="1:18" ht="9" customHeight="1">
      <c r="A430" s="26" t="e">
        <f>IF(#REF!="","",#REF!)</f>
        <v>#REF!</v>
      </c>
      <c r="B430" s="25" t="e">
        <f>IF(#REF!="","",#REF!)</f>
        <v>#REF!</v>
      </c>
      <c r="D430" s="7"/>
      <c r="F430" s="7"/>
      <c r="H430" s="7"/>
      <c r="J430" s="7"/>
      <c r="L430" s="7"/>
      <c r="N430" s="7"/>
      <c r="P430" s="7"/>
      <c r="R430" s="7"/>
    </row>
    <row r="431" spans="1:18" ht="21.6" customHeight="1">
      <c r="A431" s="26" t="e">
        <f>IF(#REF!="","",#REF!)</f>
        <v>#REF!</v>
      </c>
      <c r="B431" s="25" t="e">
        <f>IF(#REF!="","",#REF!)</f>
        <v>#REF!</v>
      </c>
      <c r="D431" s="7"/>
      <c r="F431" s="7"/>
      <c r="H431" s="7"/>
      <c r="J431" s="7"/>
      <c r="L431" s="7"/>
      <c r="N431" s="7"/>
      <c r="P431" s="7"/>
      <c r="R431" s="7"/>
    </row>
    <row r="432" spans="1:18" ht="9" customHeight="1">
      <c r="A432" s="26" t="e">
        <f>IF(#REF!="","",#REF!)</f>
        <v>#REF!</v>
      </c>
      <c r="B432" s="25" t="e">
        <f>IF(#REF!="","",#REF!)</f>
        <v>#REF!</v>
      </c>
      <c r="D432" s="7"/>
      <c r="F432" s="7"/>
      <c r="H432" s="7"/>
      <c r="J432" s="7"/>
      <c r="L432" s="7"/>
      <c r="N432" s="7"/>
      <c r="P432" s="7"/>
      <c r="R432" s="7"/>
    </row>
    <row r="433" spans="1:18" ht="21.6" customHeight="1">
      <c r="A433" s="26" t="e">
        <f>IF(#REF!="","",#REF!)</f>
        <v>#REF!</v>
      </c>
      <c r="B433" s="25" t="e">
        <f>IF(#REF!="","",#REF!)</f>
        <v>#REF!</v>
      </c>
      <c r="D433" s="7"/>
      <c r="F433" s="7"/>
      <c r="H433" s="7"/>
      <c r="J433" s="7"/>
      <c r="L433" s="7"/>
      <c r="N433" s="7"/>
      <c r="P433" s="7"/>
      <c r="R433" s="7"/>
    </row>
    <row r="434" spans="1:18" ht="9" customHeight="1">
      <c r="A434" s="26" t="e">
        <f>IF(#REF!="","",#REF!)</f>
        <v>#REF!</v>
      </c>
      <c r="B434" s="25" t="e">
        <f>IF(#REF!="","",#REF!)</f>
        <v>#REF!</v>
      </c>
      <c r="D434" s="7"/>
      <c r="F434" s="7"/>
      <c r="H434" s="7"/>
      <c r="J434" s="7"/>
      <c r="L434" s="7"/>
      <c r="N434" s="7"/>
      <c r="P434" s="7"/>
      <c r="R434" s="7"/>
    </row>
    <row r="435" spans="1:18" ht="21.6" customHeight="1">
      <c r="A435" s="26" t="e">
        <f>IF(#REF!="","",#REF!)</f>
        <v>#REF!</v>
      </c>
      <c r="B435" s="25" t="e">
        <f>IF(#REF!="","",#REF!)</f>
        <v>#REF!</v>
      </c>
      <c r="D435" s="7"/>
      <c r="F435" s="7"/>
      <c r="H435" s="7"/>
      <c r="J435" s="7"/>
      <c r="L435" s="7"/>
      <c r="N435" s="7"/>
      <c r="P435" s="7"/>
      <c r="R435" s="7"/>
    </row>
    <row r="436" spans="1:18" ht="9" customHeight="1">
      <c r="A436" s="26" t="e">
        <f>IF(#REF!="","",#REF!)</f>
        <v>#REF!</v>
      </c>
      <c r="B436" s="25" t="e">
        <f>IF(#REF!="","",#REF!)</f>
        <v>#REF!</v>
      </c>
      <c r="D436" s="7"/>
      <c r="F436" s="7"/>
      <c r="H436" s="7"/>
      <c r="J436" s="7"/>
      <c r="L436" s="7"/>
      <c r="N436" s="7"/>
      <c r="P436" s="7"/>
      <c r="R436" s="7"/>
    </row>
    <row r="437" spans="1:18" ht="21.6" customHeight="1">
      <c r="A437" s="26" t="e">
        <f>IF(#REF!="","",#REF!)</f>
        <v>#REF!</v>
      </c>
      <c r="B437" s="25" t="e">
        <f>IF(#REF!="","",#REF!)</f>
        <v>#REF!</v>
      </c>
      <c r="D437" s="7"/>
      <c r="F437" s="7"/>
      <c r="H437" s="7"/>
      <c r="J437" s="7"/>
      <c r="L437" s="7"/>
      <c r="N437" s="7"/>
      <c r="P437" s="7"/>
      <c r="R437" s="7"/>
    </row>
    <row r="438" spans="1:18" ht="9" customHeight="1">
      <c r="A438" s="26" t="e">
        <f>IF(#REF!="","",#REF!)</f>
        <v>#REF!</v>
      </c>
      <c r="B438" s="25" t="e">
        <f>IF(#REF!="","",#REF!)</f>
        <v>#REF!</v>
      </c>
      <c r="D438" s="7"/>
      <c r="F438" s="7"/>
      <c r="H438" s="7"/>
      <c r="J438" s="7"/>
      <c r="L438" s="7"/>
      <c r="N438" s="7"/>
      <c r="P438" s="7"/>
      <c r="R438" s="7"/>
    </row>
    <row r="439" spans="1:18" ht="21.6" customHeight="1">
      <c r="A439" s="26" t="e">
        <f>IF(#REF!="","",#REF!)</f>
        <v>#REF!</v>
      </c>
      <c r="B439" s="25" t="e">
        <f>IF(#REF!="","",#REF!)</f>
        <v>#REF!</v>
      </c>
    </row>
    <row r="440" spans="1:18" ht="9" customHeight="1">
      <c r="A440" s="26" t="e">
        <f>IF(#REF!="","",#REF!)</f>
        <v>#REF!</v>
      </c>
      <c r="B440" s="25" t="e">
        <f>IF(#REF!="","",#REF!)</f>
        <v>#REF!</v>
      </c>
    </row>
    <row r="441" spans="1:18" ht="21.6" customHeight="1">
      <c r="A441" s="26" t="e">
        <f>IF(#REF!="","",#REF!)</f>
        <v>#REF!</v>
      </c>
      <c r="B441" s="25" t="e">
        <f>IF(#REF!="","",#REF!)</f>
        <v>#REF!</v>
      </c>
    </row>
    <row r="442" spans="1:18" ht="9" customHeight="1">
      <c r="A442" s="26" t="e">
        <f>IF(#REF!="","",#REF!)</f>
        <v>#REF!</v>
      </c>
      <c r="B442" s="25" t="e">
        <f>IF(#REF!="","",#REF!)</f>
        <v>#REF!</v>
      </c>
    </row>
    <row r="443" spans="1:18" ht="21.6" customHeight="1">
      <c r="A443" s="26" t="e">
        <f>IF(#REF!="","",#REF!)</f>
        <v>#REF!</v>
      </c>
      <c r="B443" s="25" t="e">
        <f>IF(#REF!="","",#REF!)</f>
        <v>#REF!</v>
      </c>
    </row>
    <row r="444" spans="1:18" ht="9" customHeight="1">
      <c r="A444" s="26" t="e">
        <f>IF(#REF!="","",#REF!)</f>
        <v>#REF!</v>
      </c>
      <c r="B444" s="25" t="e">
        <f>IF(#REF!="","",#REF!)</f>
        <v>#REF!</v>
      </c>
    </row>
    <row r="445" spans="1:18" ht="21.6" customHeight="1">
      <c r="A445" s="26" t="e">
        <f>IF(#REF!="","",#REF!)</f>
        <v>#REF!</v>
      </c>
      <c r="B445" s="25" t="e">
        <f>IF(#REF!="","",#REF!)</f>
        <v>#REF!</v>
      </c>
    </row>
    <row r="446" spans="1:18" ht="9" customHeight="1">
      <c r="A446" s="26" t="e">
        <f>IF(#REF!="","",#REF!)</f>
        <v>#REF!</v>
      </c>
      <c r="B446" s="25" t="e">
        <f>IF(#REF!="","",#REF!)</f>
        <v>#REF!</v>
      </c>
    </row>
    <row r="447" spans="1:18" ht="21.6" customHeight="1">
      <c r="A447" s="26" t="e">
        <f>IF(#REF!="","",#REF!)</f>
        <v>#REF!</v>
      </c>
      <c r="B447" s="25" t="e">
        <f>IF(#REF!="","",#REF!)</f>
        <v>#REF!</v>
      </c>
    </row>
    <row r="448" spans="1:18" ht="9" customHeight="1">
      <c r="A448" s="26" t="e">
        <f>IF(#REF!="","",#REF!)</f>
        <v>#REF!</v>
      </c>
      <c r="B448" s="25" t="e">
        <f>IF(#REF!="","",#REF!)</f>
        <v>#REF!</v>
      </c>
    </row>
    <row r="449" spans="1:18" ht="21.6" customHeight="1">
      <c r="A449" s="26" t="e">
        <f>IF(#REF!="","",#REF!)</f>
        <v>#REF!</v>
      </c>
      <c r="B449" s="25" t="e">
        <f>IF(#REF!="","",#REF!)</f>
        <v>#REF!</v>
      </c>
    </row>
    <row r="450" spans="1:18" ht="9" customHeight="1">
      <c r="A450" s="26" t="e">
        <f>IF(#REF!="","",#REF!)</f>
        <v>#REF!</v>
      </c>
      <c r="B450" s="25" t="e">
        <f>IF(#REF!="","",#REF!)</f>
        <v>#REF!</v>
      </c>
      <c r="D450" s="7"/>
      <c r="F450" s="7"/>
      <c r="H450" s="7"/>
      <c r="J450" s="7"/>
      <c r="L450" s="7"/>
      <c r="N450" s="7"/>
      <c r="P450" s="7"/>
      <c r="R450" s="7"/>
    </row>
    <row r="451" spans="1:18" ht="21.6" customHeight="1">
      <c r="A451" s="26" t="e">
        <f>IF(#REF!="","",#REF!)</f>
        <v>#REF!</v>
      </c>
      <c r="B451" s="25" t="e">
        <f>IF(#REF!="","",#REF!)</f>
        <v>#REF!</v>
      </c>
      <c r="D451" s="7"/>
      <c r="F451" s="7"/>
      <c r="H451" s="7"/>
      <c r="J451" s="7"/>
      <c r="L451" s="7"/>
      <c r="N451" s="7"/>
      <c r="P451" s="7"/>
      <c r="R451" s="7"/>
    </row>
    <row r="452" spans="1:18" ht="9" customHeight="1">
      <c r="A452" s="26" t="e">
        <f>IF(#REF!="","",#REF!)</f>
        <v>#REF!</v>
      </c>
      <c r="B452" s="25" t="e">
        <f>IF(#REF!="","",#REF!)</f>
        <v>#REF!</v>
      </c>
      <c r="D452" s="7"/>
      <c r="F452" s="7"/>
      <c r="H452" s="7"/>
      <c r="J452" s="7"/>
      <c r="L452" s="7"/>
      <c r="N452" s="7"/>
      <c r="P452" s="7"/>
      <c r="R452" s="7"/>
    </row>
    <row r="453" spans="1:18" ht="21.6" customHeight="1">
      <c r="A453" s="26" t="e">
        <f>IF(#REF!="","",#REF!)</f>
        <v>#REF!</v>
      </c>
      <c r="B453" s="25" t="e">
        <f>IF(#REF!="","",#REF!)</f>
        <v>#REF!</v>
      </c>
      <c r="D453" s="7"/>
      <c r="F453" s="7"/>
      <c r="H453" s="7"/>
      <c r="J453" s="7"/>
      <c r="L453" s="7"/>
      <c r="N453" s="7"/>
      <c r="P453" s="7"/>
      <c r="R453" s="7"/>
    </row>
    <row r="454" spans="1:18" ht="9" customHeight="1">
      <c r="A454" s="26" t="e">
        <f>IF(#REF!="","",#REF!)</f>
        <v>#REF!</v>
      </c>
      <c r="B454" s="25" t="e">
        <f>IF(#REF!="","",#REF!)</f>
        <v>#REF!</v>
      </c>
      <c r="D454" s="7"/>
      <c r="F454" s="7"/>
      <c r="H454" s="7"/>
      <c r="J454" s="7"/>
      <c r="L454" s="7"/>
      <c r="N454" s="7"/>
      <c r="P454" s="7"/>
      <c r="R454" s="7"/>
    </row>
    <row r="455" spans="1:18" ht="21.6" customHeight="1">
      <c r="A455" s="26" t="e">
        <f>IF(#REF!="","",#REF!)</f>
        <v>#REF!</v>
      </c>
      <c r="B455" s="25" t="e">
        <f>IF(#REF!="","",#REF!)</f>
        <v>#REF!</v>
      </c>
      <c r="D455" s="7"/>
      <c r="F455" s="7"/>
      <c r="H455" s="7"/>
      <c r="J455" s="7"/>
      <c r="L455" s="7"/>
      <c r="N455" s="7"/>
      <c r="P455" s="7"/>
      <c r="R455" s="7"/>
    </row>
    <row r="456" spans="1:18" ht="9" customHeight="1">
      <c r="A456" s="26" t="e">
        <f>IF(#REF!="","",#REF!)</f>
        <v>#REF!</v>
      </c>
      <c r="B456" s="25" t="e">
        <f>IF(#REF!="","",#REF!)</f>
        <v>#REF!</v>
      </c>
      <c r="D456" s="7"/>
      <c r="F456" s="7"/>
      <c r="H456" s="7"/>
      <c r="J456" s="7"/>
      <c r="L456" s="7"/>
      <c r="N456" s="7"/>
      <c r="P456" s="7"/>
      <c r="R456" s="7"/>
    </row>
    <row r="457" spans="1:18" ht="21.6" customHeight="1">
      <c r="A457" s="26" t="e">
        <f>IF(#REF!="","",#REF!)</f>
        <v>#REF!</v>
      </c>
      <c r="B457" s="25" t="e">
        <f>IF(#REF!="","",#REF!)</f>
        <v>#REF!</v>
      </c>
      <c r="D457" s="7"/>
      <c r="F457" s="7"/>
      <c r="H457" s="7"/>
      <c r="J457" s="7"/>
      <c r="L457" s="7"/>
      <c r="N457" s="7"/>
      <c r="P457" s="7"/>
      <c r="R457" s="7"/>
    </row>
    <row r="458" spans="1:18" ht="9" customHeight="1">
      <c r="A458" s="26" t="e">
        <f>IF(#REF!="","",#REF!)</f>
        <v>#REF!</v>
      </c>
      <c r="B458" s="25" t="e">
        <f>IF(#REF!="","",#REF!)</f>
        <v>#REF!</v>
      </c>
      <c r="D458" s="7"/>
      <c r="F458" s="7"/>
      <c r="H458" s="7"/>
      <c r="J458" s="7"/>
      <c r="L458" s="7"/>
      <c r="N458" s="7"/>
      <c r="P458" s="7"/>
      <c r="R458" s="7"/>
    </row>
    <row r="459" spans="1:18" ht="21.6" customHeight="1">
      <c r="A459" s="26" t="e">
        <f>IF(#REF!="","",#REF!)</f>
        <v>#REF!</v>
      </c>
      <c r="B459" s="25" t="e">
        <f>IF(#REF!="","",#REF!)</f>
        <v>#REF!</v>
      </c>
    </row>
    <row r="460" spans="1:18" ht="9" customHeight="1">
      <c r="A460" s="26" t="e">
        <f>IF(#REF!="","",#REF!)</f>
        <v>#REF!</v>
      </c>
      <c r="B460" s="25" t="e">
        <f>IF(#REF!="","",#REF!)</f>
        <v>#REF!</v>
      </c>
    </row>
    <row r="461" spans="1:18" ht="21.6" customHeight="1">
      <c r="A461" s="26" t="e">
        <f>IF(#REF!="","",#REF!)</f>
        <v>#REF!</v>
      </c>
      <c r="B461" s="25" t="e">
        <f>IF(#REF!="","",#REF!)</f>
        <v>#REF!</v>
      </c>
    </row>
    <row r="462" spans="1:18" ht="9" customHeight="1">
      <c r="A462" s="26" t="e">
        <f>IF(#REF!="","",#REF!)</f>
        <v>#REF!</v>
      </c>
      <c r="B462" s="25" t="e">
        <f>IF(#REF!="","",#REF!)</f>
        <v>#REF!</v>
      </c>
    </row>
    <row r="463" spans="1:18" ht="21.6" customHeight="1">
      <c r="A463" s="26" t="e">
        <f>IF(#REF!="","",#REF!)</f>
        <v>#REF!</v>
      </c>
      <c r="B463" s="25" t="e">
        <f>IF(#REF!="","",#REF!)</f>
        <v>#REF!</v>
      </c>
    </row>
    <row r="464" spans="1:18" ht="9" customHeight="1">
      <c r="A464" s="26" t="e">
        <f>IF(#REF!="","",#REF!)</f>
        <v>#REF!</v>
      </c>
      <c r="B464" s="25" t="e">
        <f>IF(#REF!="","",#REF!)</f>
        <v>#REF!</v>
      </c>
    </row>
    <row r="465" spans="1:18" ht="21.6" customHeight="1">
      <c r="A465" s="26" t="e">
        <f>IF(#REF!="","",#REF!)</f>
        <v>#REF!</v>
      </c>
      <c r="B465" s="25" t="e">
        <f>IF(#REF!="","",#REF!)</f>
        <v>#REF!</v>
      </c>
    </row>
    <row r="466" spans="1:18" ht="9" customHeight="1">
      <c r="A466" s="26" t="e">
        <f>IF(#REF!="","",#REF!)</f>
        <v>#REF!</v>
      </c>
      <c r="B466" s="25" t="e">
        <f>IF(#REF!="","",#REF!)</f>
        <v>#REF!</v>
      </c>
    </row>
    <row r="467" spans="1:18" ht="21.6" customHeight="1">
      <c r="A467" s="26" t="e">
        <f>IF(#REF!="","",#REF!)</f>
        <v>#REF!</v>
      </c>
      <c r="B467" s="25" t="e">
        <f>IF(#REF!="","",#REF!)</f>
        <v>#REF!</v>
      </c>
    </row>
    <row r="468" spans="1:18" ht="9" customHeight="1">
      <c r="A468" s="26" t="e">
        <f>IF(#REF!="","",#REF!)</f>
        <v>#REF!</v>
      </c>
      <c r="B468" s="25" t="e">
        <f>IF(#REF!="","",#REF!)</f>
        <v>#REF!</v>
      </c>
    </row>
    <row r="469" spans="1:18" ht="21.6" customHeight="1">
      <c r="A469" s="26" t="e">
        <f>IF(#REF!="","",#REF!)</f>
        <v>#REF!</v>
      </c>
      <c r="B469" s="25" t="e">
        <f>IF(#REF!="","",#REF!)</f>
        <v>#REF!</v>
      </c>
    </row>
    <row r="470" spans="1:18" ht="9" customHeight="1">
      <c r="A470" s="26" t="e">
        <f>IF(#REF!="","",#REF!)</f>
        <v>#REF!</v>
      </c>
      <c r="B470" s="25" t="e">
        <f>IF(#REF!="","",#REF!)</f>
        <v>#REF!</v>
      </c>
      <c r="D470" s="7"/>
      <c r="F470" s="7"/>
      <c r="H470" s="7"/>
      <c r="J470" s="7"/>
      <c r="L470" s="7"/>
      <c r="N470" s="7"/>
      <c r="P470" s="7"/>
      <c r="R470" s="7"/>
    </row>
    <row r="471" spans="1:18" ht="21.6" customHeight="1">
      <c r="A471" s="26" t="e">
        <f>IF(#REF!="","",#REF!)</f>
        <v>#REF!</v>
      </c>
      <c r="B471" s="25" t="e">
        <f>IF(#REF!="","",#REF!)</f>
        <v>#REF!</v>
      </c>
      <c r="D471" s="7"/>
      <c r="F471" s="7"/>
      <c r="H471" s="7"/>
      <c r="J471" s="7"/>
      <c r="L471" s="7"/>
      <c r="N471" s="7"/>
      <c r="P471" s="7"/>
      <c r="R471" s="7"/>
    </row>
    <row r="472" spans="1:18" ht="9" customHeight="1">
      <c r="A472" s="26" t="e">
        <f>IF(#REF!="","",#REF!)</f>
        <v>#REF!</v>
      </c>
      <c r="B472" s="25" t="e">
        <f>IF(#REF!="","",#REF!)</f>
        <v>#REF!</v>
      </c>
      <c r="D472" s="7"/>
      <c r="F472" s="7"/>
      <c r="H472" s="7"/>
      <c r="J472" s="7"/>
      <c r="L472" s="7"/>
      <c r="N472" s="7"/>
      <c r="P472" s="7"/>
      <c r="R472" s="7"/>
    </row>
    <row r="473" spans="1:18" ht="21.6" customHeight="1">
      <c r="A473" s="26" t="e">
        <f>IF(#REF!="","",#REF!)</f>
        <v>#REF!</v>
      </c>
      <c r="B473" s="25" t="e">
        <f>IF(#REF!="","",#REF!)</f>
        <v>#REF!</v>
      </c>
      <c r="D473" s="7"/>
      <c r="F473" s="7"/>
      <c r="H473" s="7"/>
      <c r="J473" s="7"/>
      <c r="L473" s="7"/>
      <c r="N473" s="7"/>
      <c r="P473" s="7"/>
      <c r="R473" s="7"/>
    </row>
    <row r="474" spans="1:18" ht="9" customHeight="1">
      <c r="A474" s="26" t="e">
        <f>IF(#REF!="","",#REF!)</f>
        <v>#REF!</v>
      </c>
      <c r="B474" s="25" t="e">
        <f>IF(#REF!="","",#REF!)</f>
        <v>#REF!</v>
      </c>
      <c r="D474" s="7"/>
      <c r="F474" s="7"/>
      <c r="H474" s="7"/>
      <c r="J474" s="7"/>
      <c r="L474" s="7"/>
      <c r="N474" s="7"/>
      <c r="P474" s="7"/>
      <c r="R474" s="7"/>
    </row>
    <row r="475" spans="1:18" ht="21.6" customHeight="1">
      <c r="A475" s="26" t="e">
        <f>IF(#REF!="","",#REF!)</f>
        <v>#REF!</v>
      </c>
      <c r="B475" s="25" t="e">
        <f>IF(#REF!="","",#REF!)</f>
        <v>#REF!</v>
      </c>
      <c r="D475" s="7"/>
      <c r="F475" s="7"/>
      <c r="H475" s="7"/>
      <c r="J475" s="7"/>
      <c r="L475" s="7"/>
      <c r="N475" s="7"/>
      <c r="P475" s="7"/>
      <c r="R475" s="7"/>
    </row>
    <row r="476" spans="1:18" ht="9" customHeight="1">
      <c r="A476" s="26" t="e">
        <f>IF(#REF!="","",#REF!)</f>
        <v>#REF!</v>
      </c>
      <c r="B476" s="25" t="e">
        <f>IF(#REF!="","",#REF!)</f>
        <v>#REF!</v>
      </c>
      <c r="D476" s="7"/>
      <c r="F476" s="7"/>
      <c r="H476" s="7"/>
      <c r="J476" s="7"/>
      <c r="L476" s="7"/>
      <c r="N476" s="7"/>
      <c r="P476" s="7"/>
      <c r="R476" s="7"/>
    </row>
    <row r="477" spans="1:18" ht="21.6" customHeight="1">
      <c r="A477" s="26" t="e">
        <f>IF(#REF!="","",#REF!)</f>
        <v>#REF!</v>
      </c>
      <c r="B477" s="25" t="e">
        <f>IF(#REF!="","",#REF!)</f>
        <v>#REF!</v>
      </c>
      <c r="D477" s="7"/>
      <c r="F477" s="7"/>
      <c r="H477" s="7"/>
      <c r="J477" s="7"/>
      <c r="L477" s="7"/>
      <c r="N477" s="7"/>
      <c r="P477" s="7"/>
      <c r="R477" s="7"/>
    </row>
    <row r="478" spans="1:18" ht="9" customHeight="1">
      <c r="A478" s="26" t="e">
        <f>IF(#REF!="","",#REF!)</f>
        <v>#REF!</v>
      </c>
      <c r="B478" s="25" t="e">
        <f>IF(#REF!="","",#REF!)</f>
        <v>#REF!</v>
      </c>
      <c r="D478" s="7"/>
      <c r="F478" s="7"/>
      <c r="H478" s="7"/>
      <c r="J478" s="7"/>
      <c r="L478" s="7"/>
      <c r="N478" s="7"/>
      <c r="P478" s="7"/>
      <c r="R478" s="7"/>
    </row>
    <row r="479" spans="1:18" ht="21.6" customHeight="1">
      <c r="A479" s="26" t="e">
        <f>IF(#REF!="","",#REF!)</f>
        <v>#REF!</v>
      </c>
      <c r="B479" s="25" t="e">
        <f>IF(#REF!="","",#REF!)</f>
        <v>#REF!</v>
      </c>
    </row>
    <row r="480" spans="1:18" ht="9" customHeight="1">
      <c r="A480" s="26" t="e">
        <f>IF(#REF!="","",#REF!)</f>
        <v>#REF!</v>
      </c>
      <c r="B480" s="25" t="e">
        <f>IF(#REF!="","",#REF!)</f>
        <v>#REF!</v>
      </c>
    </row>
    <row r="481" spans="1:18" ht="21.6" customHeight="1">
      <c r="A481" s="26" t="e">
        <f>IF(#REF!="","",#REF!)</f>
        <v>#REF!</v>
      </c>
      <c r="B481" s="25" t="e">
        <f>IF(#REF!="","",#REF!)</f>
        <v>#REF!</v>
      </c>
    </row>
    <row r="482" spans="1:18" ht="9" customHeight="1">
      <c r="A482" s="26" t="e">
        <f>IF(#REF!="","",#REF!)</f>
        <v>#REF!</v>
      </c>
      <c r="B482" s="25" t="e">
        <f>IF(#REF!="","",#REF!)</f>
        <v>#REF!</v>
      </c>
    </row>
    <row r="483" spans="1:18" ht="21.6" customHeight="1">
      <c r="A483" s="26" t="e">
        <f>IF(#REF!="","",#REF!)</f>
        <v>#REF!</v>
      </c>
      <c r="B483" s="25" t="e">
        <f>IF(#REF!="","",#REF!)</f>
        <v>#REF!</v>
      </c>
    </row>
    <row r="484" spans="1:18" ht="9" customHeight="1">
      <c r="A484" s="26" t="e">
        <f>IF(#REF!="","",#REF!)</f>
        <v>#REF!</v>
      </c>
      <c r="B484" s="25" t="e">
        <f>IF(#REF!="","",#REF!)</f>
        <v>#REF!</v>
      </c>
    </row>
    <row r="485" spans="1:18" ht="21.6" customHeight="1">
      <c r="A485" s="26" t="e">
        <f>IF(#REF!="","",#REF!)</f>
        <v>#REF!</v>
      </c>
      <c r="B485" s="25" t="e">
        <f>IF(#REF!="","",#REF!)</f>
        <v>#REF!</v>
      </c>
    </row>
    <row r="486" spans="1:18" ht="9" customHeight="1">
      <c r="A486" s="26" t="e">
        <f>IF(#REF!="","",#REF!)</f>
        <v>#REF!</v>
      </c>
      <c r="B486" s="25" t="e">
        <f>IF(#REF!="","",#REF!)</f>
        <v>#REF!</v>
      </c>
    </row>
    <row r="487" spans="1:18" ht="21.6" customHeight="1">
      <c r="A487" s="26" t="e">
        <f>IF(#REF!="","",#REF!)</f>
        <v>#REF!</v>
      </c>
      <c r="B487" s="25" t="e">
        <f>IF(#REF!="","",#REF!)</f>
        <v>#REF!</v>
      </c>
    </row>
    <row r="488" spans="1:18" ht="9" customHeight="1">
      <c r="A488" s="26" t="e">
        <f>IF(#REF!="","",#REF!)</f>
        <v>#REF!</v>
      </c>
      <c r="B488" s="25" t="e">
        <f>IF(#REF!="","",#REF!)</f>
        <v>#REF!</v>
      </c>
    </row>
    <row r="489" spans="1:18" ht="21.6" customHeight="1">
      <c r="A489" s="26" t="e">
        <f>IF(#REF!="","",#REF!)</f>
        <v>#REF!</v>
      </c>
      <c r="B489" s="25" t="e">
        <f>IF(#REF!="","",#REF!)</f>
        <v>#REF!</v>
      </c>
    </row>
    <row r="490" spans="1:18" ht="9" customHeight="1">
      <c r="A490" s="26" t="e">
        <f>IF(#REF!="","",#REF!)</f>
        <v>#REF!</v>
      </c>
      <c r="B490" s="25" t="e">
        <f>IF(#REF!="","",#REF!)</f>
        <v>#REF!</v>
      </c>
      <c r="D490" s="7"/>
      <c r="F490" s="7"/>
      <c r="H490" s="7"/>
      <c r="J490" s="7"/>
      <c r="L490" s="7"/>
      <c r="N490" s="7"/>
      <c r="P490" s="7"/>
      <c r="R490" s="7"/>
    </row>
    <row r="491" spans="1:18" ht="21.6" customHeight="1">
      <c r="A491" s="26" t="e">
        <f>IF(#REF!="","",#REF!)</f>
        <v>#REF!</v>
      </c>
      <c r="B491" s="25" t="e">
        <f>IF(#REF!="","",#REF!)</f>
        <v>#REF!</v>
      </c>
      <c r="D491" s="7"/>
      <c r="F491" s="7"/>
      <c r="H491" s="7"/>
      <c r="J491" s="7"/>
      <c r="L491" s="7"/>
      <c r="N491" s="7"/>
      <c r="P491" s="7"/>
      <c r="R491" s="7"/>
    </row>
    <row r="492" spans="1:18" ht="9" customHeight="1">
      <c r="A492" s="26" t="e">
        <f>IF(#REF!="","",#REF!)</f>
        <v>#REF!</v>
      </c>
      <c r="B492" s="25" t="e">
        <f>IF(#REF!="","",#REF!)</f>
        <v>#REF!</v>
      </c>
      <c r="D492" s="7"/>
      <c r="F492" s="7"/>
      <c r="H492" s="7"/>
      <c r="J492" s="7"/>
      <c r="L492" s="7"/>
      <c r="N492" s="7"/>
      <c r="P492" s="7"/>
      <c r="R492" s="7"/>
    </row>
    <row r="493" spans="1:18" ht="21.6" customHeight="1">
      <c r="A493" s="26" t="e">
        <f>IF(#REF!="","",#REF!)</f>
        <v>#REF!</v>
      </c>
      <c r="B493" s="25" t="e">
        <f>IF(#REF!="","",#REF!)</f>
        <v>#REF!</v>
      </c>
      <c r="D493" s="7"/>
      <c r="F493" s="7"/>
      <c r="H493" s="7"/>
      <c r="J493" s="7"/>
      <c r="L493" s="7"/>
      <c r="N493" s="7"/>
      <c r="P493" s="7"/>
      <c r="R493" s="7"/>
    </row>
    <row r="494" spans="1:18" ht="9" customHeight="1">
      <c r="A494" s="26" t="e">
        <f>IF(#REF!="","",#REF!)</f>
        <v>#REF!</v>
      </c>
      <c r="B494" s="25" t="e">
        <f>IF(#REF!="","",#REF!)</f>
        <v>#REF!</v>
      </c>
      <c r="D494" s="7"/>
      <c r="F494" s="7"/>
      <c r="H494" s="7"/>
      <c r="J494" s="7"/>
      <c r="L494" s="7"/>
      <c r="N494" s="7"/>
      <c r="P494" s="7"/>
      <c r="R494" s="7"/>
    </row>
    <row r="495" spans="1:18" ht="21.6" customHeight="1">
      <c r="A495" s="26" t="e">
        <f>IF(#REF!="","",#REF!)</f>
        <v>#REF!</v>
      </c>
      <c r="B495" s="25" t="e">
        <f>IF(#REF!="","",#REF!)</f>
        <v>#REF!</v>
      </c>
      <c r="D495" s="7"/>
      <c r="F495" s="7"/>
      <c r="H495" s="7"/>
      <c r="J495" s="7"/>
      <c r="L495" s="7"/>
      <c r="N495" s="7"/>
      <c r="P495" s="7"/>
      <c r="R495" s="7"/>
    </row>
    <row r="496" spans="1:18" ht="9" customHeight="1">
      <c r="A496" s="26" t="e">
        <f>IF(#REF!="","",#REF!)</f>
        <v>#REF!</v>
      </c>
      <c r="B496" s="25" t="e">
        <f>IF(#REF!="","",#REF!)</f>
        <v>#REF!</v>
      </c>
      <c r="D496" s="7"/>
      <c r="F496" s="7"/>
      <c r="H496" s="7"/>
      <c r="J496" s="7"/>
      <c r="L496" s="7"/>
      <c r="N496" s="7"/>
      <c r="P496" s="7"/>
      <c r="R496" s="7"/>
    </row>
    <row r="497" spans="1:18" ht="21.6" customHeight="1">
      <c r="A497" s="26" t="e">
        <f>IF(#REF!="","",#REF!)</f>
        <v>#REF!</v>
      </c>
      <c r="B497" s="25" t="e">
        <f>IF(#REF!="","",#REF!)</f>
        <v>#REF!</v>
      </c>
      <c r="D497" s="7"/>
      <c r="F497" s="7"/>
      <c r="H497" s="7"/>
      <c r="J497" s="7"/>
      <c r="L497" s="7"/>
      <c r="N497" s="7"/>
      <c r="P497" s="7"/>
      <c r="R497" s="7"/>
    </row>
    <row r="498" spans="1:18" ht="9" customHeight="1">
      <c r="A498" s="26" t="e">
        <f>IF(#REF!="","",#REF!)</f>
        <v>#REF!</v>
      </c>
      <c r="B498" s="25" t="e">
        <f>IF(#REF!="","",#REF!)</f>
        <v>#REF!</v>
      </c>
      <c r="D498" s="7"/>
      <c r="F498" s="7"/>
      <c r="H498" s="7"/>
      <c r="J498" s="7"/>
      <c r="L498" s="7"/>
      <c r="N498" s="7"/>
      <c r="P498" s="7"/>
      <c r="R498" s="7"/>
    </row>
    <row r="499" spans="1:18" ht="21.6" customHeight="1">
      <c r="A499" s="26" t="e">
        <f>IF(#REF!="","",#REF!)</f>
        <v>#REF!</v>
      </c>
      <c r="B499" s="25" t="e">
        <f>IF(#REF!="","",#REF!)</f>
        <v>#REF!</v>
      </c>
    </row>
    <row r="500" spans="1:18" ht="9" customHeight="1">
      <c r="A500" s="26" t="e">
        <f>IF(#REF!="","",#REF!)</f>
        <v>#REF!</v>
      </c>
      <c r="B500" s="25" t="e">
        <f>IF(#REF!="","",#REF!)</f>
        <v>#REF!</v>
      </c>
    </row>
    <row r="501" spans="1:18" ht="21.6" customHeight="1">
      <c r="A501" s="26" t="e">
        <f>IF(#REF!="","",#REF!)</f>
        <v>#REF!</v>
      </c>
      <c r="B501" s="25" t="e">
        <f>IF(#REF!="","",#REF!)</f>
        <v>#REF!</v>
      </c>
    </row>
    <row r="502" spans="1:18" ht="9" customHeight="1">
      <c r="A502" s="26" t="e">
        <f>IF(#REF!="","",#REF!)</f>
        <v>#REF!</v>
      </c>
      <c r="B502" s="25" t="e">
        <f>IF(#REF!="","",#REF!)</f>
        <v>#REF!</v>
      </c>
    </row>
    <row r="503" spans="1:18" ht="21.6" customHeight="1">
      <c r="A503" s="26" t="e">
        <f>IF(#REF!="","",#REF!)</f>
        <v>#REF!</v>
      </c>
      <c r="B503" s="25" t="e">
        <f>IF(#REF!="","",#REF!)</f>
        <v>#REF!</v>
      </c>
    </row>
    <row r="504" spans="1:18" ht="9" customHeight="1">
      <c r="A504" s="26" t="e">
        <f>IF(#REF!="","",#REF!)</f>
        <v>#REF!</v>
      </c>
      <c r="B504" s="25" t="e">
        <f>IF(#REF!="","",#REF!)</f>
        <v>#REF!</v>
      </c>
    </row>
    <row r="505" spans="1:18" ht="21.6" customHeight="1">
      <c r="A505" s="26" t="e">
        <f>IF(#REF!="","",#REF!)</f>
        <v>#REF!</v>
      </c>
      <c r="B505" s="25" t="e">
        <f>IF(#REF!="","",#REF!)</f>
        <v>#REF!</v>
      </c>
    </row>
    <row r="506" spans="1:18" ht="9" customHeight="1">
      <c r="A506" s="26" t="e">
        <f>IF(#REF!="","",#REF!)</f>
        <v>#REF!</v>
      </c>
      <c r="B506" s="25" t="e">
        <f>IF(#REF!="","",#REF!)</f>
        <v>#REF!</v>
      </c>
    </row>
    <row r="507" spans="1:18" ht="21.6" customHeight="1">
      <c r="A507" s="26" t="e">
        <f>IF(#REF!="","",#REF!)</f>
        <v>#REF!</v>
      </c>
      <c r="B507" s="25" t="e">
        <f>IF(#REF!="","",#REF!)</f>
        <v>#REF!</v>
      </c>
    </row>
    <row r="508" spans="1:18" ht="9" customHeight="1">
      <c r="A508" s="26" t="e">
        <f>IF(#REF!="","",#REF!)</f>
        <v>#REF!</v>
      </c>
      <c r="B508" s="25" t="e">
        <f>IF(#REF!="","",#REF!)</f>
        <v>#REF!</v>
      </c>
    </row>
    <row r="509" spans="1:18" ht="21.6" customHeight="1">
      <c r="A509" s="26" t="e">
        <f>IF(#REF!="","",#REF!)</f>
        <v>#REF!</v>
      </c>
      <c r="B509" s="25" t="e">
        <f>IF(#REF!="","",#REF!)</f>
        <v>#REF!</v>
      </c>
    </row>
    <row r="510" spans="1:18" ht="9" customHeight="1">
      <c r="A510" s="26" t="e">
        <f>IF(#REF!="","",#REF!)</f>
        <v>#REF!</v>
      </c>
      <c r="B510" s="25" t="e">
        <f>IF(#REF!="","",#REF!)</f>
        <v>#REF!</v>
      </c>
      <c r="D510" s="7"/>
      <c r="F510" s="7"/>
      <c r="H510" s="7"/>
      <c r="J510" s="7"/>
      <c r="L510" s="7"/>
      <c r="N510" s="7"/>
      <c r="P510" s="7"/>
      <c r="R510" s="7"/>
    </row>
    <row r="511" spans="1:18" ht="21.6" customHeight="1">
      <c r="A511" s="26" t="e">
        <f>IF(#REF!="","",#REF!)</f>
        <v>#REF!</v>
      </c>
      <c r="B511" s="25" t="e">
        <f>IF(#REF!="","",#REF!)</f>
        <v>#REF!</v>
      </c>
      <c r="D511" s="7"/>
      <c r="F511" s="7"/>
      <c r="H511" s="7"/>
      <c r="J511" s="7"/>
      <c r="L511" s="7"/>
      <c r="N511" s="7"/>
      <c r="P511" s="7"/>
      <c r="R511" s="7"/>
    </row>
    <row r="512" spans="1:18" ht="9" customHeight="1">
      <c r="A512" s="26" t="e">
        <f>IF(#REF!="","",#REF!)</f>
        <v>#REF!</v>
      </c>
      <c r="B512" s="25" t="e">
        <f>IF(#REF!="","",#REF!)</f>
        <v>#REF!</v>
      </c>
      <c r="D512" s="7"/>
      <c r="F512" s="7"/>
      <c r="H512" s="7"/>
      <c r="J512" s="7"/>
      <c r="L512" s="7"/>
      <c r="N512" s="7"/>
      <c r="P512" s="7"/>
      <c r="R512" s="7"/>
    </row>
    <row r="513" spans="1:18" ht="21.6" customHeight="1">
      <c r="A513" s="26" t="e">
        <f>IF(#REF!="","",#REF!)</f>
        <v>#REF!</v>
      </c>
      <c r="B513" s="25" t="e">
        <f>IF(#REF!="","",#REF!)</f>
        <v>#REF!</v>
      </c>
      <c r="D513" s="7"/>
      <c r="F513" s="7"/>
      <c r="H513" s="7"/>
      <c r="J513" s="7"/>
      <c r="L513" s="7"/>
      <c r="N513" s="7"/>
      <c r="P513" s="7"/>
      <c r="R513" s="7"/>
    </row>
    <row r="514" spans="1:18" ht="9" customHeight="1">
      <c r="A514" s="26" t="e">
        <f>IF(#REF!="","",#REF!)</f>
        <v>#REF!</v>
      </c>
      <c r="B514" s="25" t="e">
        <f>IF(#REF!="","",#REF!)</f>
        <v>#REF!</v>
      </c>
      <c r="D514" s="7"/>
      <c r="F514" s="7"/>
      <c r="H514" s="7"/>
      <c r="J514" s="7"/>
      <c r="L514" s="7"/>
      <c r="N514" s="7"/>
      <c r="P514" s="7"/>
      <c r="R514" s="7"/>
    </row>
    <row r="515" spans="1:18" ht="21.6" customHeight="1">
      <c r="A515" s="26" t="e">
        <f>IF(#REF!="","",#REF!)</f>
        <v>#REF!</v>
      </c>
      <c r="B515" s="25" t="e">
        <f>IF(#REF!="","",#REF!)</f>
        <v>#REF!</v>
      </c>
      <c r="D515" s="7"/>
      <c r="F515" s="7"/>
      <c r="H515" s="7"/>
      <c r="J515" s="7"/>
      <c r="L515" s="7"/>
      <c r="N515" s="7"/>
      <c r="P515" s="7"/>
      <c r="R515" s="7"/>
    </row>
    <row r="516" spans="1:18" ht="9" customHeight="1">
      <c r="A516" s="26" t="e">
        <f>IF(#REF!="","",#REF!)</f>
        <v>#REF!</v>
      </c>
      <c r="B516" s="25" t="e">
        <f>IF(#REF!="","",#REF!)</f>
        <v>#REF!</v>
      </c>
      <c r="D516" s="7"/>
      <c r="F516" s="7"/>
      <c r="H516" s="7"/>
      <c r="J516" s="7"/>
      <c r="L516" s="7"/>
      <c r="N516" s="7"/>
      <c r="P516" s="7"/>
      <c r="R516" s="7"/>
    </row>
    <row r="517" spans="1:18" ht="21.6" customHeight="1">
      <c r="A517" s="26" t="e">
        <f>IF(#REF!="","",#REF!)</f>
        <v>#REF!</v>
      </c>
      <c r="B517" s="25" t="e">
        <f>IF(#REF!="","",#REF!)</f>
        <v>#REF!</v>
      </c>
      <c r="D517" s="7"/>
      <c r="F517" s="7"/>
      <c r="H517" s="7"/>
      <c r="J517" s="7"/>
      <c r="L517" s="7"/>
      <c r="N517" s="7"/>
      <c r="P517" s="7"/>
      <c r="R517" s="7"/>
    </row>
    <row r="518" spans="1:18" ht="9" customHeight="1">
      <c r="A518" s="26" t="e">
        <f>IF(#REF!="","",#REF!)</f>
        <v>#REF!</v>
      </c>
      <c r="B518" s="25" t="e">
        <f>IF(#REF!="","",#REF!)</f>
        <v>#REF!</v>
      </c>
      <c r="D518" s="7"/>
      <c r="F518" s="7"/>
      <c r="H518" s="7"/>
      <c r="J518" s="7"/>
      <c r="L518" s="7"/>
      <c r="N518" s="7"/>
      <c r="P518" s="7"/>
      <c r="R518" s="7"/>
    </row>
    <row r="519" spans="1:18" ht="21.6" customHeight="1">
      <c r="A519" s="26" t="e">
        <f>IF(#REF!="","",#REF!)</f>
        <v>#REF!</v>
      </c>
      <c r="B519" s="25" t="e">
        <f>IF(#REF!="","",#REF!)</f>
        <v>#REF!</v>
      </c>
    </row>
    <row r="520" spans="1:18" ht="9" customHeight="1">
      <c r="A520" s="26" t="e">
        <f>IF(#REF!="","",#REF!)</f>
        <v>#REF!</v>
      </c>
      <c r="B520" s="25" t="e">
        <f>IF(#REF!="","",#REF!)</f>
        <v>#REF!</v>
      </c>
    </row>
    <row r="521" spans="1:18" ht="21.6" customHeight="1">
      <c r="A521" s="26" t="e">
        <f>IF(#REF!="","",#REF!)</f>
        <v>#REF!</v>
      </c>
      <c r="B521" s="25" t="e">
        <f>IF(#REF!="","",#REF!)</f>
        <v>#REF!</v>
      </c>
    </row>
    <row r="522" spans="1:18" ht="9" customHeight="1">
      <c r="A522" s="26" t="e">
        <f>IF(#REF!="","",#REF!)</f>
        <v>#REF!</v>
      </c>
      <c r="B522" s="25" t="e">
        <f>IF(#REF!="","",#REF!)</f>
        <v>#REF!</v>
      </c>
    </row>
    <row r="523" spans="1:18" ht="21.6" customHeight="1">
      <c r="A523" s="26" t="e">
        <f>IF(#REF!="","",#REF!)</f>
        <v>#REF!</v>
      </c>
      <c r="B523" s="25" t="e">
        <f>IF(#REF!="","",#REF!)</f>
        <v>#REF!</v>
      </c>
    </row>
    <row r="524" spans="1:18" ht="9" customHeight="1">
      <c r="A524" s="26" t="e">
        <f>IF(#REF!="","",#REF!)</f>
        <v>#REF!</v>
      </c>
      <c r="B524" s="25" t="e">
        <f>IF(#REF!="","",#REF!)</f>
        <v>#REF!</v>
      </c>
    </row>
    <row r="525" spans="1:18" ht="21.6" customHeight="1">
      <c r="A525" s="26" t="e">
        <f>IF(#REF!="","",#REF!)</f>
        <v>#REF!</v>
      </c>
      <c r="B525" s="25" t="e">
        <f>IF(#REF!="","",#REF!)</f>
        <v>#REF!</v>
      </c>
    </row>
    <row r="526" spans="1:18" ht="9" customHeight="1">
      <c r="A526" s="26" t="e">
        <f>IF(#REF!="","",#REF!)</f>
        <v>#REF!</v>
      </c>
      <c r="B526" s="25" t="e">
        <f>IF(#REF!="","",#REF!)</f>
        <v>#REF!</v>
      </c>
    </row>
    <row r="527" spans="1:18" ht="21.6" customHeight="1">
      <c r="A527" s="26" t="e">
        <f>IF(#REF!="","",#REF!)</f>
        <v>#REF!</v>
      </c>
      <c r="B527" s="25" t="e">
        <f>IF(#REF!="","",#REF!)</f>
        <v>#REF!</v>
      </c>
    </row>
    <row r="528" spans="1:18" ht="9" customHeight="1">
      <c r="A528" s="26" t="e">
        <f>IF(#REF!="","",#REF!)</f>
        <v>#REF!</v>
      </c>
      <c r="B528" s="25" t="e">
        <f>IF(#REF!="","",#REF!)</f>
        <v>#REF!</v>
      </c>
    </row>
    <row r="529" spans="1:18" ht="21.6" customHeight="1">
      <c r="A529" s="26" t="e">
        <f>IF(#REF!="","",#REF!)</f>
        <v>#REF!</v>
      </c>
      <c r="B529" s="25" t="e">
        <f>IF(#REF!="","",#REF!)</f>
        <v>#REF!</v>
      </c>
    </row>
    <row r="530" spans="1:18" ht="9" customHeight="1">
      <c r="A530" s="26" t="e">
        <f>IF(#REF!="","",#REF!)</f>
        <v>#REF!</v>
      </c>
      <c r="B530" s="25" t="e">
        <f>IF(#REF!="","",#REF!)</f>
        <v>#REF!</v>
      </c>
      <c r="D530" s="7"/>
      <c r="F530" s="7"/>
      <c r="H530" s="7"/>
      <c r="J530" s="7"/>
      <c r="L530" s="7"/>
      <c r="N530" s="7"/>
      <c r="P530" s="7"/>
      <c r="R530" s="7"/>
    </row>
    <row r="531" spans="1:18" ht="21.6" customHeight="1">
      <c r="A531" s="26" t="e">
        <f>IF(#REF!="","",#REF!)</f>
        <v>#REF!</v>
      </c>
      <c r="B531" s="25" t="e">
        <f>IF(#REF!="","",#REF!)</f>
        <v>#REF!</v>
      </c>
      <c r="D531" s="7"/>
      <c r="F531" s="7"/>
      <c r="H531" s="7"/>
      <c r="J531" s="7"/>
      <c r="L531" s="7"/>
      <c r="N531" s="7"/>
      <c r="P531" s="7"/>
      <c r="R531" s="7"/>
    </row>
    <row r="532" spans="1:18" ht="9" customHeight="1">
      <c r="A532" s="26" t="e">
        <f>IF(#REF!="","",#REF!)</f>
        <v>#REF!</v>
      </c>
      <c r="B532" s="25" t="e">
        <f>IF(#REF!="","",#REF!)</f>
        <v>#REF!</v>
      </c>
      <c r="D532" s="7"/>
      <c r="F532" s="7"/>
      <c r="H532" s="7"/>
      <c r="J532" s="7"/>
      <c r="L532" s="7"/>
      <c r="N532" s="7"/>
      <c r="P532" s="7"/>
      <c r="R532" s="7"/>
    </row>
    <row r="533" spans="1:18" ht="21.6" customHeight="1">
      <c r="A533" s="26" t="e">
        <f>IF(#REF!="","",#REF!)</f>
        <v>#REF!</v>
      </c>
      <c r="B533" s="25" t="e">
        <f>IF(#REF!="","",#REF!)</f>
        <v>#REF!</v>
      </c>
      <c r="D533" s="7"/>
      <c r="F533" s="7"/>
      <c r="H533" s="7"/>
      <c r="J533" s="7"/>
      <c r="L533" s="7"/>
      <c r="N533" s="7"/>
      <c r="P533" s="7"/>
      <c r="R533" s="7"/>
    </row>
    <row r="534" spans="1:18" ht="9" customHeight="1">
      <c r="A534" s="26" t="e">
        <f>IF(#REF!="","",#REF!)</f>
        <v>#REF!</v>
      </c>
      <c r="B534" s="25" t="e">
        <f>IF(#REF!="","",#REF!)</f>
        <v>#REF!</v>
      </c>
      <c r="D534" s="7"/>
      <c r="F534" s="7"/>
      <c r="H534" s="7"/>
      <c r="J534" s="7"/>
      <c r="L534" s="7"/>
      <c r="N534" s="7"/>
      <c r="P534" s="7"/>
      <c r="R534" s="7"/>
    </row>
    <row r="535" spans="1:18" ht="21.6" customHeight="1">
      <c r="A535" s="26" t="e">
        <f>IF(#REF!="","",#REF!)</f>
        <v>#REF!</v>
      </c>
      <c r="B535" s="25" t="e">
        <f>IF(#REF!="","",#REF!)</f>
        <v>#REF!</v>
      </c>
      <c r="D535" s="7"/>
      <c r="F535" s="7"/>
      <c r="H535" s="7"/>
      <c r="J535" s="7"/>
      <c r="L535" s="7"/>
      <c r="N535" s="7"/>
      <c r="P535" s="7"/>
      <c r="R535" s="7"/>
    </row>
    <row r="536" spans="1:18" ht="9" customHeight="1">
      <c r="A536" s="26" t="e">
        <f>IF(#REF!="","",#REF!)</f>
        <v>#REF!</v>
      </c>
      <c r="B536" s="25" t="e">
        <f>IF(#REF!="","",#REF!)</f>
        <v>#REF!</v>
      </c>
      <c r="D536" s="7"/>
      <c r="F536" s="7"/>
      <c r="H536" s="7"/>
      <c r="J536" s="7"/>
      <c r="L536" s="7"/>
      <c r="N536" s="7"/>
      <c r="P536" s="7"/>
      <c r="R536" s="7"/>
    </row>
    <row r="537" spans="1:18" ht="21.6" customHeight="1">
      <c r="A537" s="26" t="e">
        <f>IF(#REF!="","",#REF!)</f>
        <v>#REF!</v>
      </c>
      <c r="B537" s="25" t="e">
        <f>IF(#REF!="","",#REF!)</f>
        <v>#REF!</v>
      </c>
      <c r="D537" s="7"/>
      <c r="F537" s="7"/>
      <c r="H537" s="7"/>
      <c r="J537" s="7"/>
      <c r="L537" s="7"/>
      <c r="N537" s="7"/>
      <c r="P537" s="7"/>
      <c r="R537" s="7"/>
    </row>
    <row r="538" spans="1:18" ht="9" customHeight="1">
      <c r="A538" s="26" t="e">
        <f>IF(#REF!="","",#REF!)</f>
        <v>#REF!</v>
      </c>
      <c r="B538" s="25" t="e">
        <f>IF(#REF!="","",#REF!)</f>
        <v>#REF!</v>
      </c>
      <c r="D538" s="7"/>
      <c r="F538" s="7"/>
      <c r="H538" s="7"/>
      <c r="J538" s="7"/>
      <c r="L538" s="7"/>
      <c r="N538" s="7"/>
      <c r="P538" s="7"/>
      <c r="R538" s="7"/>
    </row>
    <row r="539" spans="1:18" ht="21.6" customHeight="1">
      <c r="A539" s="26" t="e">
        <f>IF(#REF!="","",#REF!)</f>
        <v>#REF!</v>
      </c>
      <c r="B539" s="25" t="e">
        <f>IF(#REF!="","",#REF!)</f>
        <v>#REF!</v>
      </c>
    </row>
    <row r="540" spans="1:18" ht="9" customHeight="1">
      <c r="A540" s="26" t="e">
        <f>IF(#REF!="","",#REF!)</f>
        <v>#REF!</v>
      </c>
      <c r="B540" s="25" t="e">
        <f>IF(#REF!="","",#REF!)</f>
        <v>#REF!</v>
      </c>
    </row>
    <row r="541" spans="1:18" ht="21.6" customHeight="1">
      <c r="A541" s="26" t="e">
        <f>IF(#REF!="","",#REF!)</f>
        <v>#REF!</v>
      </c>
      <c r="B541" s="25" t="e">
        <f>IF(#REF!="","",#REF!)</f>
        <v>#REF!</v>
      </c>
    </row>
    <row r="542" spans="1:18" ht="9" customHeight="1">
      <c r="A542" s="26" t="e">
        <f>IF(#REF!="","",#REF!)</f>
        <v>#REF!</v>
      </c>
      <c r="B542" s="25" t="e">
        <f>IF(#REF!="","",#REF!)</f>
        <v>#REF!</v>
      </c>
    </row>
    <row r="543" spans="1:18" ht="21.6" customHeight="1">
      <c r="A543" s="26" t="e">
        <f>IF(#REF!="","",#REF!)</f>
        <v>#REF!</v>
      </c>
      <c r="B543" s="25" t="e">
        <f>IF(#REF!="","",#REF!)</f>
        <v>#REF!</v>
      </c>
    </row>
    <row r="544" spans="1:18" ht="9" customHeight="1">
      <c r="A544" s="26" t="e">
        <f>IF(#REF!="","",#REF!)</f>
        <v>#REF!</v>
      </c>
      <c r="B544" s="25" t="e">
        <f>IF(#REF!="","",#REF!)</f>
        <v>#REF!</v>
      </c>
    </row>
    <row r="545" spans="1:18" ht="21.6" customHeight="1">
      <c r="A545" s="26" t="e">
        <f>IF(#REF!="","",#REF!)</f>
        <v>#REF!</v>
      </c>
      <c r="B545" s="25" t="e">
        <f>IF(#REF!="","",#REF!)</f>
        <v>#REF!</v>
      </c>
    </row>
    <row r="546" spans="1:18" ht="9" customHeight="1">
      <c r="A546" s="26" t="e">
        <f>IF(#REF!="","",#REF!)</f>
        <v>#REF!</v>
      </c>
      <c r="B546" s="25" t="e">
        <f>IF(#REF!="","",#REF!)</f>
        <v>#REF!</v>
      </c>
    </row>
    <row r="547" spans="1:18" ht="21.6" customHeight="1">
      <c r="A547" s="26" t="e">
        <f>IF(#REF!="","",#REF!)</f>
        <v>#REF!</v>
      </c>
      <c r="B547" s="25" t="e">
        <f>IF(#REF!="","",#REF!)</f>
        <v>#REF!</v>
      </c>
    </row>
    <row r="548" spans="1:18" ht="9" customHeight="1">
      <c r="A548" s="26" t="e">
        <f>IF(#REF!="","",#REF!)</f>
        <v>#REF!</v>
      </c>
      <c r="B548" s="25" t="e">
        <f>IF(#REF!="","",#REF!)</f>
        <v>#REF!</v>
      </c>
    </row>
    <row r="549" spans="1:18" ht="21.6" customHeight="1">
      <c r="A549" s="26" t="e">
        <f>IF(#REF!="","",#REF!)</f>
        <v>#REF!</v>
      </c>
      <c r="B549" s="25" t="e">
        <f>IF(#REF!="","",#REF!)</f>
        <v>#REF!</v>
      </c>
    </row>
    <row r="550" spans="1:18" ht="9" customHeight="1">
      <c r="A550" s="26" t="e">
        <f>IF(#REF!="","",#REF!)</f>
        <v>#REF!</v>
      </c>
      <c r="B550" s="25" t="e">
        <f>IF(#REF!="","",#REF!)</f>
        <v>#REF!</v>
      </c>
      <c r="D550" s="7"/>
      <c r="F550" s="7"/>
      <c r="H550" s="7"/>
      <c r="J550" s="7"/>
      <c r="L550" s="7"/>
      <c r="N550" s="7"/>
      <c r="P550" s="7"/>
      <c r="R550" s="7"/>
    </row>
    <row r="551" spans="1:18" ht="21.6" customHeight="1">
      <c r="A551" s="26" t="e">
        <f>IF(#REF!="","",#REF!)</f>
        <v>#REF!</v>
      </c>
      <c r="B551" s="25" t="e">
        <f>IF(#REF!="","",#REF!)</f>
        <v>#REF!</v>
      </c>
      <c r="D551" s="7"/>
      <c r="F551" s="7"/>
      <c r="H551" s="7"/>
      <c r="J551" s="7"/>
      <c r="L551" s="7"/>
      <c r="N551" s="7"/>
      <c r="P551" s="7"/>
      <c r="R551" s="7"/>
    </row>
    <row r="552" spans="1:18" ht="9" customHeight="1">
      <c r="A552" s="26" t="e">
        <f>IF(#REF!="","",#REF!)</f>
        <v>#REF!</v>
      </c>
      <c r="B552" s="25" t="e">
        <f>IF(#REF!="","",#REF!)</f>
        <v>#REF!</v>
      </c>
      <c r="D552" s="7"/>
      <c r="F552" s="7"/>
      <c r="H552" s="7"/>
      <c r="J552" s="7"/>
      <c r="L552" s="7"/>
      <c r="N552" s="7"/>
      <c r="P552" s="7"/>
      <c r="R552" s="7"/>
    </row>
    <row r="553" spans="1:18" ht="21.6" customHeight="1">
      <c r="A553" s="26" t="e">
        <f>IF(#REF!="","",#REF!)</f>
        <v>#REF!</v>
      </c>
      <c r="B553" s="25" t="e">
        <f>IF(#REF!="","",#REF!)</f>
        <v>#REF!</v>
      </c>
      <c r="D553" s="7"/>
      <c r="F553" s="7"/>
      <c r="H553" s="7"/>
      <c r="J553" s="7"/>
      <c r="L553" s="7"/>
      <c r="N553" s="7"/>
      <c r="P553" s="7"/>
      <c r="R553" s="7"/>
    </row>
    <row r="554" spans="1:18" ht="9" customHeight="1">
      <c r="A554" s="26" t="e">
        <f>IF(#REF!="","",#REF!)</f>
        <v>#REF!</v>
      </c>
      <c r="B554" s="25" t="e">
        <f>IF(#REF!="","",#REF!)</f>
        <v>#REF!</v>
      </c>
      <c r="D554" s="7"/>
      <c r="F554" s="7"/>
      <c r="H554" s="7"/>
      <c r="J554" s="7"/>
      <c r="L554" s="7"/>
      <c r="N554" s="7"/>
      <c r="P554" s="7"/>
      <c r="R554" s="7"/>
    </row>
    <row r="555" spans="1:18" ht="21.6" customHeight="1">
      <c r="A555" s="26" t="e">
        <f>IF(#REF!="","",#REF!)</f>
        <v>#REF!</v>
      </c>
      <c r="B555" s="25" t="e">
        <f>IF(#REF!="","",#REF!)</f>
        <v>#REF!</v>
      </c>
      <c r="D555" s="7"/>
      <c r="F555" s="7"/>
      <c r="H555" s="7"/>
      <c r="J555" s="7"/>
      <c r="L555" s="7"/>
      <c r="N555" s="7"/>
      <c r="P555" s="7"/>
      <c r="R555" s="7"/>
    </row>
    <row r="556" spans="1:18" ht="9" customHeight="1">
      <c r="A556" s="26" t="e">
        <f>IF(#REF!="","",#REF!)</f>
        <v>#REF!</v>
      </c>
      <c r="B556" s="25" t="e">
        <f>IF(#REF!="","",#REF!)</f>
        <v>#REF!</v>
      </c>
      <c r="D556" s="7"/>
      <c r="F556" s="7"/>
      <c r="H556" s="7"/>
      <c r="J556" s="7"/>
      <c r="L556" s="7"/>
      <c r="N556" s="7"/>
      <c r="P556" s="7"/>
      <c r="R556" s="7"/>
    </row>
    <row r="557" spans="1:18" ht="21.6" customHeight="1">
      <c r="A557" s="26" t="e">
        <f>IF(#REF!="","",#REF!)</f>
        <v>#REF!</v>
      </c>
      <c r="B557" s="25" t="e">
        <f>IF(#REF!="","",#REF!)</f>
        <v>#REF!</v>
      </c>
      <c r="D557" s="7"/>
      <c r="F557" s="7"/>
      <c r="H557" s="7"/>
      <c r="J557" s="7"/>
      <c r="L557" s="7"/>
      <c r="N557" s="7"/>
      <c r="P557" s="7"/>
      <c r="R557" s="7"/>
    </row>
    <row r="558" spans="1:18" ht="9" customHeight="1">
      <c r="A558" s="26" t="e">
        <f>IF(#REF!="","",#REF!)</f>
        <v>#REF!</v>
      </c>
      <c r="B558" s="25" t="e">
        <f>IF(#REF!="","",#REF!)</f>
        <v>#REF!</v>
      </c>
      <c r="D558" s="7"/>
      <c r="F558" s="7"/>
      <c r="H558" s="7"/>
      <c r="J558" s="7"/>
      <c r="L558" s="7"/>
      <c r="N558" s="7"/>
      <c r="P558" s="7"/>
      <c r="R558" s="7"/>
    </row>
    <row r="559" spans="1:18" ht="21.6" customHeight="1">
      <c r="A559" s="26" t="e">
        <f>IF(#REF!="","",#REF!)</f>
        <v>#REF!</v>
      </c>
      <c r="B559" s="25" t="e">
        <f>IF(#REF!="","",#REF!)</f>
        <v>#REF!</v>
      </c>
    </row>
    <row r="560" spans="1:18" ht="9" customHeight="1">
      <c r="A560" s="26" t="e">
        <f>IF(#REF!="","",#REF!)</f>
        <v>#REF!</v>
      </c>
      <c r="B560" s="25" t="e">
        <f>IF(#REF!="","",#REF!)</f>
        <v>#REF!</v>
      </c>
    </row>
    <row r="561" spans="1:18" ht="21.6" customHeight="1">
      <c r="A561" s="26" t="e">
        <f>IF(#REF!="","",#REF!)</f>
        <v>#REF!</v>
      </c>
      <c r="B561" s="25" t="e">
        <f>IF(#REF!="","",#REF!)</f>
        <v>#REF!</v>
      </c>
    </row>
    <row r="562" spans="1:18" ht="9" customHeight="1">
      <c r="A562" s="26" t="e">
        <f>IF(#REF!="","",#REF!)</f>
        <v>#REF!</v>
      </c>
      <c r="B562" s="25" t="e">
        <f>IF(#REF!="","",#REF!)</f>
        <v>#REF!</v>
      </c>
    </row>
    <row r="563" spans="1:18" ht="21.6" customHeight="1">
      <c r="A563" s="26" t="e">
        <f>IF(#REF!="","",#REF!)</f>
        <v>#REF!</v>
      </c>
      <c r="B563" s="25" t="e">
        <f>IF(#REF!="","",#REF!)</f>
        <v>#REF!</v>
      </c>
    </row>
    <row r="564" spans="1:18" ht="9" customHeight="1">
      <c r="A564" s="26" t="e">
        <f>IF(#REF!="","",#REF!)</f>
        <v>#REF!</v>
      </c>
      <c r="B564" s="25" t="e">
        <f>IF(#REF!="","",#REF!)</f>
        <v>#REF!</v>
      </c>
    </row>
    <row r="565" spans="1:18" ht="21.6" customHeight="1">
      <c r="A565" s="26" t="e">
        <f>IF(#REF!="","",#REF!)</f>
        <v>#REF!</v>
      </c>
      <c r="B565" s="25" t="e">
        <f>IF(#REF!="","",#REF!)</f>
        <v>#REF!</v>
      </c>
    </row>
    <row r="566" spans="1:18" ht="9" customHeight="1">
      <c r="A566" s="26" t="e">
        <f>IF(#REF!="","",#REF!)</f>
        <v>#REF!</v>
      </c>
      <c r="B566" s="25" t="e">
        <f>IF(#REF!="","",#REF!)</f>
        <v>#REF!</v>
      </c>
    </row>
    <row r="567" spans="1:18" ht="21.6" customHeight="1">
      <c r="A567" s="26" t="e">
        <f>IF(#REF!="","",#REF!)</f>
        <v>#REF!</v>
      </c>
      <c r="B567" s="25" t="e">
        <f>IF(#REF!="","",#REF!)</f>
        <v>#REF!</v>
      </c>
    </row>
    <row r="568" spans="1:18" ht="9" customHeight="1">
      <c r="A568" s="26" t="e">
        <f>IF(#REF!="","",#REF!)</f>
        <v>#REF!</v>
      </c>
      <c r="B568" s="25" t="e">
        <f>IF(#REF!="","",#REF!)</f>
        <v>#REF!</v>
      </c>
    </row>
    <row r="569" spans="1:18" ht="21.6" customHeight="1">
      <c r="A569" s="26" t="e">
        <f>IF(#REF!="","",#REF!)</f>
        <v>#REF!</v>
      </c>
      <c r="B569" s="25" t="e">
        <f>IF(#REF!="","",#REF!)</f>
        <v>#REF!</v>
      </c>
    </row>
    <row r="570" spans="1:18" ht="9" customHeight="1">
      <c r="A570" s="26" t="e">
        <f>IF(#REF!="","",#REF!)</f>
        <v>#REF!</v>
      </c>
      <c r="B570" s="25" t="e">
        <f>IF(#REF!="","",#REF!)</f>
        <v>#REF!</v>
      </c>
      <c r="D570" s="7"/>
      <c r="F570" s="7"/>
      <c r="H570" s="7"/>
      <c r="J570" s="7"/>
      <c r="L570" s="7"/>
      <c r="N570" s="7"/>
      <c r="P570" s="7"/>
      <c r="R570" s="7"/>
    </row>
    <row r="571" spans="1:18" ht="21.6" customHeight="1">
      <c r="A571" s="26" t="e">
        <f>IF(#REF!="","",#REF!)</f>
        <v>#REF!</v>
      </c>
      <c r="B571" s="25" t="e">
        <f>IF(#REF!="","",#REF!)</f>
        <v>#REF!</v>
      </c>
      <c r="D571" s="7"/>
      <c r="F571" s="7"/>
      <c r="H571" s="7"/>
      <c r="J571" s="7"/>
      <c r="L571" s="7"/>
      <c r="N571" s="7"/>
      <c r="P571" s="7"/>
      <c r="R571" s="7"/>
    </row>
    <row r="572" spans="1:18" ht="9" customHeight="1">
      <c r="A572" s="26" t="e">
        <f>IF(#REF!="","",#REF!)</f>
        <v>#REF!</v>
      </c>
      <c r="B572" s="25" t="e">
        <f>IF(#REF!="","",#REF!)</f>
        <v>#REF!</v>
      </c>
      <c r="D572" s="7"/>
      <c r="F572" s="7"/>
      <c r="H572" s="7"/>
      <c r="J572" s="7"/>
      <c r="L572" s="7"/>
      <c r="N572" s="7"/>
      <c r="P572" s="7"/>
      <c r="R572" s="7"/>
    </row>
    <row r="573" spans="1:18" ht="21.6" customHeight="1">
      <c r="A573" s="26" t="e">
        <f>IF(#REF!="","",#REF!)</f>
        <v>#REF!</v>
      </c>
      <c r="B573" s="25" t="e">
        <f>IF(#REF!="","",#REF!)</f>
        <v>#REF!</v>
      </c>
      <c r="D573" s="7"/>
      <c r="F573" s="7"/>
      <c r="H573" s="7"/>
      <c r="J573" s="7"/>
      <c r="L573" s="7"/>
      <c r="N573" s="7"/>
      <c r="P573" s="7"/>
      <c r="R573" s="7"/>
    </row>
    <row r="574" spans="1:18" ht="9" customHeight="1">
      <c r="A574" s="26" t="e">
        <f>IF(#REF!="","",#REF!)</f>
        <v>#REF!</v>
      </c>
      <c r="B574" s="25" t="e">
        <f>IF(#REF!="","",#REF!)</f>
        <v>#REF!</v>
      </c>
      <c r="D574" s="7"/>
      <c r="F574" s="7"/>
      <c r="H574" s="7"/>
      <c r="J574" s="7"/>
      <c r="L574" s="7"/>
      <c r="N574" s="7"/>
      <c r="P574" s="7"/>
      <c r="R574" s="7"/>
    </row>
    <row r="575" spans="1:18" ht="21.6" customHeight="1">
      <c r="A575" s="26" t="e">
        <f>IF(#REF!="","",#REF!)</f>
        <v>#REF!</v>
      </c>
      <c r="B575" s="25" t="e">
        <f>IF(#REF!="","",#REF!)</f>
        <v>#REF!</v>
      </c>
      <c r="D575" s="7"/>
      <c r="F575" s="7"/>
      <c r="H575" s="7"/>
      <c r="J575" s="7"/>
      <c r="L575" s="7"/>
      <c r="N575" s="7"/>
      <c r="P575" s="7"/>
      <c r="R575" s="7"/>
    </row>
    <row r="576" spans="1:18" ht="9" customHeight="1">
      <c r="A576" s="26" t="e">
        <f>IF(#REF!="","",#REF!)</f>
        <v>#REF!</v>
      </c>
      <c r="B576" s="25" t="e">
        <f>IF(#REF!="","",#REF!)</f>
        <v>#REF!</v>
      </c>
      <c r="D576" s="7"/>
      <c r="F576" s="7"/>
      <c r="H576" s="7"/>
      <c r="J576" s="7"/>
      <c r="L576" s="7"/>
      <c r="N576" s="7"/>
      <c r="P576" s="7"/>
      <c r="R576" s="7"/>
    </row>
    <row r="577" spans="1:18" ht="21.6" customHeight="1">
      <c r="A577" s="26" t="e">
        <f>IF(#REF!="","",#REF!)</f>
        <v>#REF!</v>
      </c>
      <c r="B577" s="25" t="e">
        <f>IF(#REF!="","",#REF!)</f>
        <v>#REF!</v>
      </c>
      <c r="D577" s="7"/>
      <c r="F577" s="7"/>
      <c r="H577" s="7"/>
      <c r="J577" s="7"/>
      <c r="L577" s="7"/>
      <c r="N577" s="7"/>
      <c r="P577" s="7"/>
      <c r="R577" s="7"/>
    </row>
    <row r="578" spans="1:18" ht="9" customHeight="1">
      <c r="A578" s="26" t="e">
        <f>IF(#REF!="","",#REF!)</f>
        <v>#REF!</v>
      </c>
      <c r="B578" s="25" t="e">
        <f>IF(#REF!="","",#REF!)</f>
        <v>#REF!</v>
      </c>
      <c r="D578" s="7"/>
      <c r="F578" s="7"/>
      <c r="H578" s="7"/>
      <c r="J578" s="7"/>
      <c r="L578" s="7"/>
      <c r="N578" s="7"/>
      <c r="P578" s="7"/>
      <c r="R578" s="7"/>
    </row>
    <row r="579" spans="1:18" ht="21.6" customHeight="1">
      <c r="A579" s="26" t="e">
        <f>IF(#REF!="","",#REF!)</f>
        <v>#REF!</v>
      </c>
      <c r="B579" s="25" t="e">
        <f>IF(#REF!="","",#REF!)</f>
        <v>#REF!</v>
      </c>
    </row>
    <row r="580" spans="1:18" ht="9" customHeight="1">
      <c r="A580" s="26" t="e">
        <f>IF(#REF!="","",#REF!)</f>
        <v>#REF!</v>
      </c>
      <c r="B580" s="25" t="e">
        <f>IF(#REF!="","",#REF!)</f>
        <v>#REF!</v>
      </c>
    </row>
    <row r="581" spans="1:18" ht="21.6" customHeight="1">
      <c r="A581" s="26" t="e">
        <f>IF(#REF!="","",#REF!)</f>
        <v>#REF!</v>
      </c>
      <c r="B581" s="25" t="e">
        <f>IF(#REF!="","",#REF!)</f>
        <v>#REF!</v>
      </c>
    </row>
    <row r="582" spans="1:18" ht="9" customHeight="1">
      <c r="A582" s="26" t="e">
        <f>IF(#REF!="","",#REF!)</f>
        <v>#REF!</v>
      </c>
      <c r="B582" s="25" t="e">
        <f>IF(#REF!="","",#REF!)</f>
        <v>#REF!</v>
      </c>
    </row>
    <row r="583" spans="1:18" ht="21.6" customHeight="1">
      <c r="A583" s="26" t="e">
        <f>IF(#REF!="","",#REF!)</f>
        <v>#REF!</v>
      </c>
      <c r="B583" s="25" t="e">
        <f>IF(#REF!="","",#REF!)</f>
        <v>#REF!</v>
      </c>
    </row>
    <row r="584" spans="1:18" ht="9" customHeight="1">
      <c r="A584" s="26" t="e">
        <f>IF(#REF!="","",#REF!)</f>
        <v>#REF!</v>
      </c>
      <c r="B584" s="25" t="e">
        <f>IF(#REF!="","",#REF!)</f>
        <v>#REF!</v>
      </c>
    </row>
    <row r="585" spans="1:18" ht="21.6" customHeight="1">
      <c r="A585" s="26" t="e">
        <f>IF(#REF!="","",#REF!)</f>
        <v>#REF!</v>
      </c>
      <c r="B585" s="25" t="e">
        <f>IF(#REF!="","",#REF!)</f>
        <v>#REF!</v>
      </c>
    </row>
    <row r="586" spans="1:18" ht="9" customHeight="1">
      <c r="A586" s="26" t="e">
        <f>IF(#REF!="","",#REF!)</f>
        <v>#REF!</v>
      </c>
      <c r="B586" s="25" t="e">
        <f>IF(#REF!="","",#REF!)</f>
        <v>#REF!</v>
      </c>
    </row>
    <row r="587" spans="1:18" ht="21.6" customHeight="1">
      <c r="A587" s="26" t="e">
        <f>IF(#REF!="","",#REF!)</f>
        <v>#REF!</v>
      </c>
      <c r="B587" s="25" t="e">
        <f>IF(#REF!="","",#REF!)</f>
        <v>#REF!</v>
      </c>
    </row>
    <row r="588" spans="1:18" ht="9" customHeight="1">
      <c r="A588" s="26" t="e">
        <f>IF(#REF!="","",#REF!)</f>
        <v>#REF!</v>
      </c>
      <c r="B588" s="25" t="e">
        <f>IF(#REF!="","",#REF!)</f>
        <v>#REF!</v>
      </c>
    </row>
    <row r="589" spans="1:18" ht="21.6" customHeight="1">
      <c r="A589" s="26" t="e">
        <f>IF(#REF!="","",#REF!)</f>
        <v>#REF!</v>
      </c>
      <c r="B589" s="25" t="e">
        <f>IF(#REF!="","",#REF!)</f>
        <v>#REF!</v>
      </c>
    </row>
    <row r="590" spans="1:18" ht="9" customHeight="1">
      <c r="A590" s="26" t="e">
        <f>IF(#REF!="","",#REF!)</f>
        <v>#REF!</v>
      </c>
      <c r="B590" s="25" t="e">
        <f>IF(#REF!="","",#REF!)</f>
        <v>#REF!</v>
      </c>
      <c r="D590" s="7"/>
      <c r="F590" s="7"/>
      <c r="H590" s="7"/>
      <c r="J590" s="7"/>
      <c r="L590" s="7"/>
      <c r="N590" s="7"/>
      <c r="P590" s="7"/>
      <c r="R590" s="7"/>
    </row>
    <row r="591" spans="1:18" ht="21.6" customHeight="1">
      <c r="A591" s="26" t="e">
        <f>IF(#REF!="","",#REF!)</f>
        <v>#REF!</v>
      </c>
      <c r="B591" s="25" t="e">
        <f>IF(#REF!="","",#REF!)</f>
        <v>#REF!</v>
      </c>
      <c r="D591" s="7"/>
      <c r="F591" s="7"/>
      <c r="H591" s="7"/>
      <c r="J591" s="7"/>
      <c r="L591" s="7"/>
      <c r="N591" s="7"/>
      <c r="P591" s="7"/>
      <c r="R591" s="7"/>
    </row>
    <row r="592" spans="1:18" ht="9" customHeight="1">
      <c r="A592" s="26" t="e">
        <f>IF(#REF!="","",#REF!)</f>
        <v>#REF!</v>
      </c>
      <c r="B592" s="25" t="e">
        <f>IF(#REF!="","",#REF!)</f>
        <v>#REF!</v>
      </c>
      <c r="D592" s="7"/>
      <c r="F592" s="7"/>
      <c r="H592" s="7"/>
      <c r="J592" s="7"/>
      <c r="L592" s="7"/>
      <c r="N592" s="7"/>
      <c r="P592" s="7"/>
      <c r="R592" s="7"/>
    </row>
    <row r="593" spans="1:18" ht="21.6" customHeight="1">
      <c r="A593" s="26" t="e">
        <f>IF(#REF!="","",#REF!)</f>
        <v>#REF!</v>
      </c>
      <c r="B593" s="25" t="e">
        <f>IF(#REF!="","",#REF!)</f>
        <v>#REF!</v>
      </c>
      <c r="D593" s="7"/>
      <c r="F593" s="7"/>
      <c r="H593" s="7"/>
      <c r="J593" s="7"/>
      <c r="L593" s="7"/>
      <c r="N593" s="7"/>
      <c r="P593" s="7"/>
      <c r="R593" s="7"/>
    </row>
    <row r="594" spans="1:18" ht="9" customHeight="1">
      <c r="A594" s="26" t="e">
        <f>IF(#REF!="","",#REF!)</f>
        <v>#REF!</v>
      </c>
      <c r="B594" s="25" t="e">
        <f>IF(#REF!="","",#REF!)</f>
        <v>#REF!</v>
      </c>
      <c r="D594" s="7"/>
      <c r="F594" s="7"/>
      <c r="H594" s="7"/>
      <c r="J594" s="7"/>
      <c r="L594" s="7"/>
      <c r="N594" s="7"/>
      <c r="P594" s="7"/>
      <c r="R594" s="7"/>
    </row>
    <row r="595" spans="1:18" ht="21.6" customHeight="1">
      <c r="A595" s="26" t="e">
        <f>IF(#REF!="","",#REF!)</f>
        <v>#REF!</v>
      </c>
      <c r="B595" s="25" t="e">
        <f>IF(#REF!="","",#REF!)</f>
        <v>#REF!</v>
      </c>
      <c r="D595" s="7"/>
      <c r="F595" s="7"/>
      <c r="H595" s="7"/>
      <c r="J595" s="7"/>
      <c r="L595" s="7"/>
      <c r="N595" s="7"/>
      <c r="P595" s="7"/>
      <c r="R595" s="7"/>
    </row>
    <row r="596" spans="1:18" ht="9" customHeight="1">
      <c r="A596" s="26" t="e">
        <f>IF(#REF!="","",#REF!)</f>
        <v>#REF!</v>
      </c>
      <c r="B596" s="25" t="e">
        <f>IF(#REF!="","",#REF!)</f>
        <v>#REF!</v>
      </c>
      <c r="D596" s="7"/>
      <c r="F596" s="7"/>
      <c r="H596" s="7"/>
      <c r="J596" s="7"/>
      <c r="L596" s="7"/>
      <c r="N596" s="7"/>
      <c r="P596" s="7"/>
      <c r="R596" s="7"/>
    </row>
    <row r="597" spans="1:18" ht="21.6" customHeight="1">
      <c r="A597" s="26" t="e">
        <f>IF(#REF!="","",#REF!)</f>
        <v>#REF!</v>
      </c>
      <c r="B597" s="25" t="e">
        <f>IF(#REF!="","",#REF!)</f>
        <v>#REF!</v>
      </c>
      <c r="D597" s="7"/>
      <c r="F597" s="7"/>
      <c r="H597" s="7"/>
      <c r="J597" s="7"/>
      <c r="L597" s="7"/>
      <c r="N597" s="7"/>
      <c r="P597" s="7"/>
      <c r="R597" s="7"/>
    </row>
    <row r="598" spans="1:18" ht="9" customHeight="1">
      <c r="A598" s="26" t="e">
        <f>IF(#REF!="","",#REF!)</f>
        <v>#REF!</v>
      </c>
      <c r="B598" s="25" t="e">
        <f>IF(#REF!="","",#REF!)</f>
        <v>#REF!</v>
      </c>
      <c r="D598" s="7"/>
      <c r="F598" s="7"/>
      <c r="H598" s="7"/>
      <c r="J598" s="7"/>
      <c r="L598" s="7"/>
      <c r="N598" s="7"/>
      <c r="P598" s="7"/>
      <c r="R598" s="7"/>
    </row>
    <row r="599" spans="1:18" ht="21.6" customHeight="1">
      <c r="A599" s="26" t="e">
        <f>IF(#REF!="","",#REF!)</f>
        <v>#REF!</v>
      </c>
      <c r="B599" s="25" t="e">
        <f>IF(#REF!="","",#REF!)</f>
        <v>#REF!</v>
      </c>
    </row>
    <row r="600" spans="1:18" ht="9" customHeight="1">
      <c r="A600" s="26" t="e">
        <f>IF(#REF!="","",#REF!)</f>
        <v>#REF!</v>
      </c>
      <c r="B600" s="25" t="e">
        <f>IF(#REF!="","",#REF!)</f>
        <v>#REF!</v>
      </c>
    </row>
    <row r="601" spans="1:18" ht="21.6" customHeight="1">
      <c r="A601" s="26" t="e">
        <f>IF(#REF!="","",#REF!)</f>
        <v>#REF!</v>
      </c>
      <c r="B601" s="25" t="e">
        <f>IF(#REF!="","",#REF!)</f>
        <v>#REF!</v>
      </c>
    </row>
    <row r="602" spans="1:18" ht="9" customHeight="1">
      <c r="A602" s="26" t="e">
        <f>IF(#REF!="","",#REF!)</f>
        <v>#REF!</v>
      </c>
      <c r="B602" s="25" t="e">
        <f>IF(#REF!="","",#REF!)</f>
        <v>#REF!</v>
      </c>
    </row>
    <row r="603" spans="1:18" ht="21.6" customHeight="1">
      <c r="A603" s="26" t="e">
        <f>IF(#REF!="","",#REF!)</f>
        <v>#REF!</v>
      </c>
      <c r="B603" s="25" t="e">
        <f>IF(#REF!="","",#REF!)</f>
        <v>#REF!</v>
      </c>
    </row>
    <row r="604" spans="1:18" ht="9" customHeight="1">
      <c r="A604" s="26" t="e">
        <f>IF(#REF!="","",#REF!)</f>
        <v>#REF!</v>
      </c>
      <c r="B604" s="25" t="e">
        <f>IF(#REF!="","",#REF!)</f>
        <v>#REF!</v>
      </c>
    </row>
    <row r="605" spans="1:18" ht="21.6" customHeight="1">
      <c r="A605" s="26" t="e">
        <f>IF(#REF!="","",#REF!)</f>
        <v>#REF!</v>
      </c>
      <c r="B605" s="25" t="e">
        <f>IF(#REF!="","",#REF!)</f>
        <v>#REF!</v>
      </c>
    </row>
    <row r="606" spans="1:18" ht="9" customHeight="1">
      <c r="A606" s="26" t="e">
        <f>IF(#REF!="","",#REF!)</f>
        <v>#REF!</v>
      </c>
      <c r="B606" s="25" t="e">
        <f>IF(#REF!="","",#REF!)</f>
        <v>#REF!</v>
      </c>
    </row>
    <row r="607" spans="1:18" ht="21.6" customHeight="1">
      <c r="A607" s="26" t="e">
        <f>IF(#REF!="","",#REF!)</f>
        <v>#REF!</v>
      </c>
      <c r="B607" s="25" t="e">
        <f>IF(#REF!="","",#REF!)</f>
        <v>#REF!</v>
      </c>
    </row>
    <row r="608" spans="1:18" ht="9" customHeight="1">
      <c r="A608" s="26" t="e">
        <f>IF(#REF!="","",#REF!)</f>
        <v>#REF!</v>
      </c>
      <c r="B608" s="25" t="e">
        <f>IF(#REF!="","",#REF!)</f>
        <v>#REF!</v>
      </c>
    </row>
    <row r="609" spans="1:18" ht="21.6" customHeight="1">
      <c r="A609" s="26" t="e">
        <f>IF(#REF!="","",#REF!)</f>
        <v>#REF!</v>
      </c>
      <c r="B609" s="25" t="e">
        <f>IF(#REF!="","",#REF!)</f>
        <v>#REF!</v>
      </c>
    </row>
    <row r="610" spans="1:18" ht="9" customHeight="1">
      <c r="A610" s="26" t="e">
        <f>IF(#REF!="","",#REF!)</f>
        <v>#REF!</v>
      </c>
      <c r="B610" s="25" t="e">
        <f>IF(#REF!="","",#REF!)</f>
        <v>#REF!</v>
      </c>
      <c r="D610" s="7"/>
      <c r="F610" s="7"/>
      <c r="H610" s="7"/>
      <c r="J610" s="7"/>
      <c r="L610" s="7"/>
      <c r="N610" s="7"/>
      <c r="P610" s="7"/>
      <c r="R610" s="7"/>
    </row>
    <row r="611" spans="1:18" ht="21.6" customHeight="1">
      <c r="A611" s="26" t="e">
        <f>IF(#REF!="","",#REF!)</f>
        <v>#REF!</v>
      </c>
      <c r="B611" s="25" t="e">
        <f>IF(#REF!="","",#REF!)</f>
        <v>#REF!</v>
      </c>
      <c r="D611" s="7"/>
      <c r="F611" s="7"/>
      <c r="H611" s="7"/>
      <c r="J611" s="7"/>
      <c r="L611" s="7"/>
      <c r="N611" s="7"/>
      <c r="P611" s="7"/>
      <c r="R611" s="7"/>
    </row>
    <row r="612" spans="1:18" ht="9" customHeight="1">
      <c r="A612" s="26" t="e">
        <f>IF(#REF!="","",#REF!)</f>
        <v>#REF!</v>
      </c>
      <c r="B612" s="25" t="e">
        <f>IF(#REF!="","",#REF!)</f>
        <v>#REF!</v>
      </c>
      <c r="D612" s="7"/>
      <c r="F612" s="7"/>
      <c r="H612" s="7"/>
      <c r="J612" s="7"/>
      <c r="L612" s="7"/>
      <c r="N612" s="7"/>
      <c r="P612" s="7"/>
      <c r="R612" s="7"/>
    </row>
    <row r="613" spans="1:18" ht="21.6" customHeight="1">
      <c r="A613" s="26" t="e">
        <f>IF(#REF!="","",#REF!)</f>
        <v>#REF!</v>
      </c>
      <c r="B613" s="25" t="e">
        <f>IF(#REF!="","",#REF!)</f>
        <v>#REF!</v>
      </c>
      <c r="D613" s="7"/>
      <c r="F613" s="7"/>
      <c r="H613" s="7"/>
      <c r="J613" s="7"/>
      <c r="L613" s="7"/>
      <c r="N613" s="7"/>
      <c r="P613" s="7"/>
      <c r="R613" s="7"/>
    </row>
    <row r="614" spans="1:18" ht="9" customHeight="1">
      <c r="A614" s="26" t="e">
        <f>IF(#REF!="","",#REF!)</f>
        <v>#REF!</v>
      </c>
      <c r="B614" s="25" t="e">
        <f>IF(#REF!="","",#REF!)</f>
        <v>#REF!</v>
      </c>
      <c r="D614" s="7"/>
      <c r="F614" s="7"/>
      <c r="H614" s="7"/>
      <c r="J614" s="7"/>
      <c r="L614" s="7"/>
      <c r="N614" s="7"/>
      <c r="P614" s="7"/>
      <c r="R614" s="7"/>
    </row>
    <row r="615" spans="1:18" ht="21.6" customHeight="1">
      <c r="A615" s="26" t="e">
        <f>IF(#REF!="","",#REF!)</f>
        <v>#REF!</v>
      </c>
      <c r="B615" s="25" t="e">
        <f>IF(#REF!="","",#REF!)</f>
        <v>#REF!</v>
      </c>
      <c r="D615" s="7"/>
      <c r="F615" s="7"/>
      <c r="H615" s="7"/>
      <c r="J615" s="7"/>
      <c r="L615" s="7"/>
      <c r="N615" s="7"/>
      <c r="P615" s="7"/>
      <c r="R615" s="7"/>
    </row>
    <row r="616" spans="1:18" ht="9" customHeight="1">
      <c r="A616" s="26" t="e">
        <f>IF(#REF!="","",#REF!)</f>
        <v>#REF!</v>
      </c>
      <c r="B616" s="25" t="e">
        <f>IF(#REF!="","",#REF!)</f>
        <v>#REF!</v>
      </c>
      <c r="D616" s="7"/>
      <c r="F616" s="7"/>
      <c r="H616" s="7"/>
      <c r="J616" s="7"/>
      <c r="L616" s="7"/>
      <c r="N616" s="7"/>
      <c r="P616" s="7"/>
      <c r="R616" s="7"/>
    </row>
    <row r="617" spans="1:18" ht="21.6" customHeight="1">
      <c r="A617" s="26" t="e">
        <f>IF(#REF!="","",#REF!)</f>
        <v>#REF!</v>
      </c>
      <c r="B617" s="25" t="e">
        <f>IF(#REF!="","",#REF!)</f>
        <v>#REF!</v>
      </c>
      <c r="D617" s="7"/>
      <c r="F617" s="7"/>
      <c r="H617" s="7"/>
      <c r="J617" s="7"/>
      <c r="L617" s="7"/>
      <c r="N617" s="7"/>
      <c r="P617" s="7"/>
      <c r="R617" s="7"/>
    </row>
    <row r="618" spans="1:18" ht="9" customHeight="1">
      <c r="A618" s="26" t="e">
        <f>IF(#REF!="","",#REF!)</f>
        <v>#REF!</v>
      </c>
      <c r="B618" s="25" t="e">
        <f>IF(#REF!="","",#REF!)</f>
        <v>#REF!</v>
      </c>
      <c r="D618" s="7"/>
      <c r="F618" s="7"/>
      <c r="H618" s="7"/>
      <c r="J618" s="7"/>
      <c r="L618" s="7"/>
      <c r="N618" s="7"/>
      <c r="P618" s="7"/>
      <c r="R618" s="7"/>
    </row>
    <row r="619" spans="1:18" ht="21.6" customHeight="1">
      <c r="A619" s="26" t="e">
        <f>IF(#REF!="","",#REF!)</f>
        <v>#REF!</v>
      </c>
      <c r="B619" s="25" t="e">
        <f>IF(#REF!="","",#REF!)</f>
        <v>#REF!</v>
      </c>
    </row>
    <row r="620" spans="1:18" ht="9" customHeight="1">
      <c r="A620" s="26" t="e">
        <f>IF(#REF!="","",#REF!)</f>
        <v>#REF!</v>
      </c>
      <c r="B620" s="25" t="e">
        <f>IF(#REF!="","",#REF!)</f>
        <v>#REF!</v>
      </c>
    </row>
    <row r="621" spans="1:18" ht="21.6" customHeight="1">
      <c r="A621" s="26" t="e">
        <f>IF(#REF!="","",#REF!)</f>
        <v>#REF!</v>
      </c>
      <c r="B621" s="25" t="e">
        <f>IF(#REF!="","",#REF!)</f>
        <v>#REF!</v>
      </c>
    </row>
    <row r="622" spans="1:18" ht="9" customHeight="1">
      <c r="A622" s="26" t="e">
        <f>IF(#REF!="","",#REF!)</f>
        <v>#REF!</v>
      </c>
      <c r="B622" s="25" t="e">
        <f>IF(#REF!="","",#REF!)</f>
        <v>#REF!</v>
      </c>
    </row>
    <row r="623" spans="1:18" ht="21.6" customHeight="1">
      <c r="A623" s="26" t="e">
        <f>IF(#REF!="","",#REF!)</f>
        <v>#REF!</v>
      </c>
      <c r="B623" s="25" t="e">
        <f>IF(#REF!="","",#REF!)</f>
        <v>#REF!</v>
      </c>
    </row>
    <row r="624" spans="1:18" ht="9" customHeight="1">
      <c r="A624" s="26" t="e">
        <f>IF(#REF!="","",#REF!)</f>
        <v>#REF!</v>
      </c>
      <c r="B624" s="25" t="e">
        <f>IF(#REF!="","",#REF!)</f>
        <v>#REF!</v>
      </c>
    </row>
    <row r="625" spans="1:18" ht="21.6" customHeight="1">
      <c r="A625" s="26" t="e">
        <f>IF(#REF!="","",#REF!)</f>
        <v>#REF!</v>
      </c>
      <c r="B625" s="25" t="e">
        <f>IF(#REF!="","",#REF!)</f>
        <v>#REF!</v>
      </c>
    </row>
    <row r="626" spans="1:18" ht="9" customHeight="1">
      <c r="A626" s="26" t="e">
        <f>IF(#REF!="","",#REF!)</f>
        <v>#REF!</v>
      </c>
      <c r="B626" s="25" t="e">
        <f>IF(#REF!="","",#REF!)</f>
        <v>#REF!</v>
      </c>
    </row>
    <row r="627" spans="1:18" ht="21.6" customHeight="1">
      <c r="A627" s="26" t="e">
        <f>IF(#REF!="","",#REF!)</f>
        <v>#REF!</v>
      </c>
      <c r="B627" s="25" t="e">
        <f>IF(#REF!="","",#REF!)</f>
        <v>#REF!</v>
      </c>
    </row>
    <row r="628" spans="1:18" ht="9" customHeight="1">
      <c r="A628" s="26" t="e">
        <f>IF(#REF!="","",#REF!)</f>
        <v>#REF!</v>
      </c>
      <c r="B628" s="25" t="e">
        <f>IF(#REF!="","",#REF!)</f>
        <v>#REF!</v>
      </c>
    </row>
    <row r="629" spans="1:18" ht="21.6" customHeight="1">
      <c r="A629" s="26" t="e">
        <f>IF(#REF!="","",#REF!)</f>
        <v>#REF!</v>
      </c>
      <c r="B629" s="25" t="e">
        <f>IF(#REF!="","",#REF!)</f>
        <v>#REF!</v>
      </c>
    </row>
    <row r="630" spans="1:18" ht="9" customHeight="1">
      <c r="A630" s="26" t="e">
        <f>IF(#REF!="","",#REF!)</f>
        <v>#REF!</v>
      </c>
      <c r="B630" s="25" t="e">
        <f>IF(#REF!="","",#REF!)</f>
        <v>#REF!</v>
      </c>
      <c r="D630" s="7"/>
      <c r="F630" s="7"/>
      <c r="H630" s="7"/>
      <c r="J630" s="7"/>
      <c r="L630" s="7"/>
      <c r="N630" s="7"/>
      <c r="P630" s="7"/>
      <c r="R630" s="7"/>
    </row>
    <row r="631" spans="1:18" ht="21.6" customHeight="1">
      <c r="A631" s="26" t="e">
        <f>IF(#REF!="","",#REF!)</f>
        <v>#REF!</v>
      </c>
      <c r="B631" s="25" t="e">
        <f>IF(#REF!="","",#REF!)</f>
        <v>#REF!</v>
      </c>
      <c r="D631" s="7"/>
      <c r="F631" s="7"/>
      <c r="H631" s="7"/>
      <c r="J631" s="7"/>
      <c r="L631" s="7"/>
      <c r="N631" s="7"/>
      <c r="P631" s="7"/>
      <c r="R631" s="7"/>
    </row>
    <row r="632" spans="1:18" ht="9" customHeight="1">
      <c r="A632" s="26" t="e">
        <f>IF(#REF!="","",#REF!)</f>
        <v>#REF!</v>
      </c>
      <c r="B632" s="25" t="e">
        <f>IF(#REF!="","",#REF!)</f>
        <v>#REF!</v>
      </c>
      <c r="D632" s="7"/>
      <c r="F632" s="7"/>
      <c r="H632" s="7"/>
      <c r="J632" s="7"/>
      <c r="L632" s="7"/>
      <c r="N632" s="7"/>
      <c r="P632" s="7"/>
      <c r="R632" s="7"/>
    </row>
    <row r="633" spans="1:18" ht="21.6" customHeight="1">
      <c r="A633" s="26" t="e">
        <f>IF(#REF!="","",#REF!)</f>
        <v>#REF!</v>
      </c>
      <c r="B633" s="25" t="e">
        <f>IF(#REF!="","",#REF!)</f>
        <v>#REF!</v>
      </c>
      <c r="D633" s="7"/>
      <c r="F633" s="7"/>
      <c r="H633" s="7"/>
      <c r="J633" s="7"/>
      <c r="L633" s="7"/>
      <c r="N633" s="7"/>
      <c r="P633" s="7"/>
      <c r="R633" s="7"/>
    </row>
    <row r="634" spans="1:18" ht="9" customHeight="1">
      <c r="A634" s="26" t="e">
        <f>IF(#REF!="","",#REF!)</f>
        <v>#REF!</v>
      </c>
      <c r="B634" s="25" t="e">
        <f>IF(#REF!="","",#REF!)</f>
        <v>#REF!</v>
      </c>
      <c r="D634" s="7"/>
      <c r="F634" s="7"/>
      <c r="H634" s="7"/>
      <c r="J634" s="7"/>
      <c r="L634" s="7"/>
      <c r="N634" s="7"/>
      <c r="P634" s="7"/>
      <c r="R634" s="7"/>
    </row>
    <row r="635" spans="1:18" ht="21.6" customHeight="1">
      <c r="A635" s="26" t="e">
        <f>IF(#REF!="","",#REF!)</f>
        <v>#REF!</v>
      </c>
      <c r="B635" s="25" t="e">
        <f>IF(#REF!="","",#REF!)</f>
        <v>#REF!</v>
      </c>
      <c r="D635" s="7"/>
      <c r="F635" s="7"/>
      <c r="H635" s="7"/>
      <c r="J635" s="7"/>
      <c r="L635" s="7"/>
      <c r="N635" s="7"/>
      <c r="P635" s="7"/>
      <c r="R635" s="7"/>
    </row>
    <row r="636" spans="1:18" ht="9" customHeight="1">
      <c r="A636" s="26" t="e">
        <f>IF(#REF!="","",#REF!)</f>
        <v>#REF!</v>
      </c>
      <c r="B636" s="25" t="e">
        <f>IF(#REF!="","",#REF!)</f>
        <v>#REF!</v>
      </c>
      <c r="D636" s="7"/>
      <c r="F636" s="7"/>
      <c r="H636" s="7"/>
      <c r="J636" s="7"/>
      <c r="L636" s="7"/>
      <c r="N636" s="7"/>
      <c r="P636" s="7"/>
      <c r="R636" s="7"/>
    </row>
    <row r="637" spans="1:18" ht="21.6" customHeight="1">
      <c r="A637" s="26" t="e">
        <f>IF(#REF!="","",#REF!)</f>
        <v>#REF!</v>
      </c>
      <c r="B637" s="25" t="e">
        <f>IF(#REF!="","",#REF!)</f>
        <v>#REF!</v>
      </c>
      <c r="D637" s="7"/>
      <c r="F637" s="7"/>
      <c r="H637" s="7"/>
      <c r="J637" s="7"/>
      <c r="L637" s="7"/>
      <c r="N637" s="7"/>
      <c r="P637" s="7"/>
      <c r="R637" s="7"/>
    </row>
    <row r="638" spans="1:18" ht="9" customHeight="1">
      <c r="A638" s="26" t="e">
        <f>IF(#REF!="","",#REF!)</f>
        <v>#REF!</v>
      </c>
      <c r="B638" s="25" t="e">
        <f>IF(#REF!="","",#REF!)</f>
        <v>#REF!</v>
      </c>
      <c r="D638" s="7"/>
      <c r="F638" s="7"/>
      <c r="H638" s="7"/>
      <c r="J638" s="7"/>
      <c r="L638" s="7"/>
      <c r="N638" s="7"/>
      <c r="P638" s="7"/>
      <c r="R638" s="7"/>
    </row>
    <row r="639" spans="1:18" ht="21.6" customHeight="1">
      <c r="A639" s="26" t="e">
        <f>IF(#REF!="","",#REF!)</f>
        <v>#REF!</v>
      </c>
      <c r="B639" s="25" t="e">
        <f>IF(#REF!="","",#REF!)</f>
        <v>#REF!</v>
      </c>
    </row>
    <row r="640" spans="1:18" ht="9" customHeight="1">
      <c r="A640" s="26" t="e">
        <f>IF(#REF!="","",#REF!)</f>
        <v>#REF!</v>
      </c>
      <c r="B640" s="25" t="e">
        <f>IF(#REF!="","",#REF!)</f>
        <v>#REF!</v>
      </c>
    </row>
    <row r="641" spans="1:18" ht="21.6" customHeight="1">
      <c r="A641" s="26" t="e">
        <f>IF(#REF!="","",#REF!)</f>
        <v>#REF!</v>
      </c>
      <c r="B641" s="25" t="e">
        <f>IF(#REF!="","",#REF!)</f>
        <v>#REF!</v>
      </c>
    </row>
    <row r="642" spans="1:18" ht="9" customHeight="1">
      <c r="A642" s="26" t="e">
        <f>IF(#REF!="","",#REF!)</f>
        <v>#REF!</v>
      </c>
      <c r="B642" s="25" t="e">
        <f>IF(#REF!="","",#REF!)</f>
        <v>#REF!</v>
      </c>
    </row>
    <row r="643" spans="1:18" ht="21.6" customHeight="1">
      <c r="A643" s="26" t="e">
        <f>IF(#REF!="","",#REF!)</f>
        <v>#REF!</v>
      </c>
      <c r="B643" s="25" t="e">
        <f>IF(#REF!="","",#REF!)</f>
        <v>#REF!</v>
      </c>
    </row>
    <row r="644" spans="1:18" ht="9" customHeight="1">
      <c r="A644" s="26" t="e">
        <f>IF(#REF!="","",#REF!)</f>
        <v>#REF!</v>
      </c>
      <c r="B644" s="25" t="e">
        <f>IF(#REF!="","",#REF!)</f>
        <v>#REF!</v>
      </c>
    </row>
    <row r="645" spans="1:18" ht="21.6" customHeight="1">
      <c r="A645" s="26" t="e">
        <f>IF(#REF!="","",#REF!)</f>
        <v>#REF!</v>
      </c>
      <c r="B645" s="25" t="e">
        <f>IF(#REF!="","",#REF!)</f>
        <v>#REF!</v>
      </c>
    </row>
    <row r="646" spans="1:18" ht="9" customHeight="1">
      <c r="A646" s="26" t="e">
        <f>IF(#REF!="","",#REF!)</f>
        <v>#REF!</v>
      </c>
      <c r="B646" s="25" t="e">
        <f>IF(#REF!="","",#REF!)</f>
        <v>#REF!</v>
      </c>
    </row>
    <row r="647" spans="1:18" ht="21.6" customHeight="1">
      <c r="A647" s="26" t="e">
        <f>IF(#REF!="","",#REF!)</f>
        <v>#REF!</v>
      </c>
      <c r="B647" s="25" t="e">
        <f>IF(#REF!="","",#REF!)</f>
        <v>#REF!</v>
      </c>
    </row>
    <row r="648" spans="1:18" ht="9" customHeight="1">
      <c r="A648" s="26" t="e">
        <f>IF(#REF!="","",#REF!)</f>
        <v>#REF!</v>
      </c>
      <c r="B648" s="25" t="e">
        <f>IF(#REF!="","",#REF!)</f>
        <v>#REF!</v>
      </c>
    </row>
    <row r="649" spans="1:18" ht="21.6" customHeight="1">
      <c r="A649" s="26" t="e">
        <f>IF(#REF!="","",#REF!)</f>
        <v>#REF!</v>
      </c>
      <c r="B649" s="25" t="e">
        <f>IF(#REF!="","",#REF!)</f>
        <v>#REF!</v>
      </c>
    </row>
    <row r="650" spans="1:18" ht="9" customHeight="1">
      <c r="A650" s="26" t="e">
        <f>IF(#REF!="","",#REF!)</f>
        <v>#REF!</v>
      </c>
      <c r="B650" s="25" t="e">
        <f>IF(#REF!="","",#REF!)</f>
        <v>#REF!</v>
      </c>
      <c r="D650" s="7"/>
      <c r="F650" s="7"/>
      <c r="H650" s="7"/>
      <c r="J650" s="7"/>
      <c r="L650" s="7"/>
      <c r="N650" s="7"/>
      <c r="P650" s="7"/>
      <c r="R650" s="7"/>
    </row>
    <row r="651" spans="1:18" ht="21.6" customHeight="1">
      <c r="A651" s="26" t="e">
        <f>IF(#REF!="","",#REF!)</f>
        <v>#REF!</v>
      </c>
      <c r="B651" s="25" t="e">
        <f>IF(#REF!="","",#REF!)</f>
        <v>#REF!</v>
      </c>
      <c r="D651" s="7"/>
      <c r="F651" s="7"/>
      <c r="H651" s="7"/>
      <c r="J651" s="7"/>
      <c r="L651" s="7"/>
      <c r="N651" s="7"/>
      <c r="P651" s="7"/>
      <c r="R651" s="7"/>
    </row>
    <row r="652" spans="1:18" ht="9" customHeight="1">
      <c r="A652" s="26" t="e">
        <f>IF(#REF!="","",#REF!)</f>
        <v>#REF!</v>
      </c>
      <c r="B652" s="25" t="e">
        <f>IF(#REF!="","",#REF!)</f>
        <v>#REF!</v>
      </c>
      <c r="D652" s="7"/>
      <c r="F652" s="7"/>
      <c r="H652" s="7"/>
      <c r="J652" s="7"/>
      <c r="L652" s="7"/>
      <c r="N652" s="7"/>
      <c r="P652" s="7"/>
      <c r="R652" s="7"/>
    </row>
    <row r="653" spans="1:18" ht="21.6" customHeight="1">
      <c r="A653" s="26" t="e">
        <f>IF(#REF!="","",#REF!)</f>
        <v>#REF!</v>
      </c>
      <c r="B653" s="25" t="e">
        <f>IF(#REF!="","",#REF!)</f>
        <v>#REF!</v>
      </c>
      <c r="D653" s="7"/>
      <c r="F653" s="7"/>
      <c r="H653" s="7"/>
      <c r="J653" s="7"/>
      <c r="L653" s="7"/>
      <c r="N653" s="7"/>
      <c r="P653" s="7"/>
      <c r="R653" s="7"/>
    </row>
    <row r="654" spans="1:18" ht="9" customHeight="1">
      <c r="A654" s="26" t="e">
        <f>IF(#REF!="","",#REF!)</f>
        <v>#REF!</v>
      </c>
      <c r="B654" s="25" t="e">
        <f>IF(#REF!="","",#REF!)</f>
        <v>#REF!</v>
      </c>
      <c r="D654" s="7"/>
      <c r="F654" s="7"/>
      <c r="H654" s="7"/>
      <c r="J654" s="7"/>
      <c r="L654" s="7"/>
      <c r="N654" s="7"/>
      <c r="P654" s="7"/>
      <c r="R654" s="7"/>
    </row>
    <row r="655" spans="1:18" ht="21.6" customHeight="1">
      <c r="A655" s="26" t="e">
        <f>IF(#REF!="","",#REF!)</f>
        <v>#REF!</v>
      </c>
      <c r="B655" s="25" t="e">
        <f>IF(#REF!="","",#REF!)</f>
        <v>#REF!</v>
      </c>
      <c r="D655" s="7"/>
      <c r="F655" s="7"/>
      <c r="H655" s="7"/>
      <c r="J655" s="7"/>
      <c r="L655" s="7"/>
      <c r="N655" s="7"/>
      <c r="P655" s="7"/>
      <c r="R655" s="7"/>
    </row>
    <row r="656" spans="1:18" ht="9" customHeight="1">
      <c r="A656" s="26" t="e">
        <f>IF(#REF!="","",#REF!)</f>
        <v>#REF!</v>
      </c>
      <c r="B656" s="25" t="e">
        <f>IF(#REF!="","",#REF!)</f>
        <v>#REF!</v>
      </c>
      <c r="D656" s="7"/>
      <c r="F656" s="7"/>
      <c r="H656" s="7"/>
      <c r="J656" s="7"/>
      <c r="L656" s="7"/>
      <c r="N656" s="7"/>
      <c r="P656" s="7"/>
      <c r="R656" s="7"/>
    </row>
    <row r="657" spans="1:18" ht="21.6" customHeight="1">
      <c r="A657" s="26" t="e">
        <f>IF(#REF!="","",#REF!)</f>
        <v>#REF!</v>
      </c>
      <c r="B657" s="25" t="e">
        <f>IF(#REF!="","",#REF!)</f>
        <v>#REF!</v>
      </c>
      <c r="D657" s="7"/>
      <c r="F657" s="7"/>
      <c r="H657" s="7"/>
      <c r="J657" s="7"/>
      <c r="L657" s="7"/>
      <c r="N657" s="7"/>
      <c r="P657" s="7"/>
      <c r="R657" s="7"/>
    </row>
    <row r="658" spans="1:18" ht="9" customHeight="1">
      <c r="A658" s="26" t="e">
        <f>IF(#REF!="","",#REF!)</f>
        <v>#REF!</v>
      </c>
      <c r="B658" s="25" t="e">
        <f>IF(#REF!="","",#REF!)</f>
        <v>#REF!</v>
      </c>
      <c r="D658" s="7"/>
      <c r="F658" s="7"/>
      <c r="H658" s="7"/>
      <c r="J658" s="7"/>
      <c r="L658" s="7"/>
      <c r="N658" s="7"/>
      <c r="P658" s="7"/>
      <c r="R658" s="7"/>
    </row>
    <row r="659" spans="1:18" ht="21.6" customHeight="1">
      <c r="A659" s="26" t="e">
        <f>IF(#REF!="","",#REF!)</f>
        <v>#REF!</v>
      </c>
      <c r="B659" s="25" t="e">
        <f>IF(#REF!="","",#REF!)</f>
        <v>#REF!</v>
      </c>
    </row>
    <row r="660" spans="1:18" ht="9" customHeight="1">
      <c r="A660" s="26" t="e">
        <f>IF(#REF!="","",#REF!)</f>
        <v>#REF!</v>
      </c>
      <c r="B660" s="25" t="e">
        <f>IF(#REF!="","",#REF!)</f>
        <v>#REF!</v>
      </c>
    </row>
    <row r="661" spans="1:18" ht="21.6" customHeight="1">
      <c r="A661" s="26" t="e">
        <f>IF(#REF!="","",#REF!)</f>
        <v>#REF!</v>
      </c>
      <c r="B661" s="25" t="e">
        <f>IF(#REF!="","",#REF!)</f>
        <v>#REF!</v>
      </c>
    </row>
    <row r="662" spans="1:18" ht="9" customHeight="1">
      <c r="A662" s="26" t="e">
        <f>IF(#REF!="","",#REF!)</f>
        <v>#REF!</v>
      </c>
      <c r="B662" s="25" t="e">
        <f>IF(#REF!="","",#REF!)</f>
        <v>#REF!</v>
      </c>
    </row>
    <row r="663" spans="1:18" ht="21.6" customHeight="1">
      <c r="A663" s="26" t="e">
        <f>IF(#REF!="","",#REF!)</f>
        <v>#REF!</v>
      </c>
      <c r="B663" s="25" t="e">
        <f>IF(#REF!="","",#REF!)</f>
        <v>#REF!</v>
      </c>
    </row>
    <row r="664" spans="1:18" ht="9" customHeight="1">
      <c r="A664" s="26" t="e">
        <f>IF(#REF!="","",#REF!)</f>
        <v>#REF!</v>
      </c>
      <c r="B664" s="25" t="e">
        <f>IF(#REF!="","",#REF!)</f>
        <v>#REF!</v>
      </c>
    </row>
    <row r="665" spans="1:18" ht="21.6" customHeight="1">
      <c r="A665" s="26" t="e">
        <f>IF(#REF!="","",#REF!)</f>
        <v>#REF!</v>
      </c>
      <c r="B665" s="25" t="e">
        <f>IF(#REF!="","",#REF!)</f>
        <v>#REF!</v>
      </c>
    </row>
    <row r="666" spans="1:18" ht="9" customHeight="1">
      <c r="A666" s="26" t="e">
        <f>IF(#REF!="","",#REF!)</f>
        <v>#REF!</v>
      </c>
      <c r="B666" s="25" t="e">
        <f>IF(#REF!="","",#REF!)</f>
        <v>#REF!</v>
      </c>
    </row>
    <row r="667" spans="1:18" ht="21.6" customHeight="1">
      <c r="A667" s="26" t="e">
        <f>IF(#REF!="","",#REF!)</f>
        <v>#REF!</v>
      </c>
      <c r="B667" s="25" t="e">
        <f>IF(#REF!="","",#REF!)</f>
        <v>#REF!</v>
      </c>
    </row>
    <row r="668" spans="1:18" ht="9" customHeight="1">
      <c r="A668" s="26" t="e">
        <f>IF(#REF!="","",#REF!)</f>
        <v>#REF!</v>
      </c>
      <c r="B668" s="25" t="e">
        <f>IF(#REF!="","",#REF!)</f>
        <v>#REF!</v>
      </c>
    </row>
    <row r="669" spans="1:18" ht="21.6" customHeight="1">
      <c r="A669" s="26" t="e">
        <f>IF(#REF!="","",#REF!)</f>
        <v>#REF!</v>
      </c>
      <c r="B669" s="25" t="e">
        <f>IF(#REF!="","",#REF!)</f>
        <v>#REF!</v>
      </c>
    </row>
    <row r="670" spans="1:18" ht="9" customHeight="1">
      <c r="A670" s="26" t="e">
        <f>IF(#REF!="","",#REF!)</f>
        <v>#REF!</v>
      </c>
      <c r="B670" s="25" t="e">
        <f>IF(#REF!="","",#REF!)</f>
        <v>#REF!</v>
      </c>
      <c r="D670" s="7"/>
      <c r="F670" s="7"/>
      <c r="H670" s="7"/>
      <c r="J670" s="7"/>
      <c r="L670" s="7"/>
      <c r="N670" s="7"/>
      <c r="P670" s="7"/>
      <c r="R670" s="7"/>
    </row>
    <row r="671" spans="1:18" ht="21.6" customHeight="1">
      <c r="A671" s="26" t="e">
        <f>IF(#REF!="","",#REF!)</f>
        <v>#REF!</v>
      </c>
      <c r="B671" s="25" t="e">
        <f>IF(#REF!="","",#REF!)</f>
        <v>#REF!</v>
      </c>
      <c r="D671" s="7"/>
      <c r="F671" s="7"/>
      <c r="H671" s="7"/>
      <c r="J671" s="7"/>
      <c r="L671" s="7"/>
      <c r="N671" s="7"/>
      <c r="P671" s="7"/>
      <c r="R671" s="7"/>
    </row>
    <row r="672" spans="1:18" ht="9" customHeight="1">
      <c r="A672" s="26" t="e">
        <f>IF(#REF!="","",#REF!)</f>
        <v>#REF!</v>
      </c>
      <c r="B672" s="25" t="e">
        <f>IF(#REF!="","",#REF!)</f>
        <v>#REF!</v>
      </c>
      <c r="D672" s="7"/>
      <c r="F672" s="7"/>
      <c r="H672" s="7"/>
      <c r="J672" s="7"/>
      <c r="L672" s="7"/>
      <c r="N672" s="7"/>
      <c r="P672" s="7"/>
      <c r="R672" s="7"/>
    </row>
    <row r="673" spans="1:18" ht="21.6" customHeight="1">
      <c r="A673" s="26" t="e">
        <f>IF(#REF!="","",#REF!)</f>
        <v>#REF!</v>
      </c>
      <c r="B673" s="25" t="e">
        <f>IF(#REF!="","",#REF!)</f>
        <v>#REF!</v>
      </c>
      <c r="D673" s="7"/>
      <c r="F673" s="7"/>
      <c r="H673" s="7"/>
      <c r="J673" s="7"/>
      <c r="L673" s="7"/>
      <c r="N673" s="7"/>
      <c r="P673" s="7"/>
      <c r="R673" s="7"/>
    </row>
    <row r="674" spans="1:18" ht="9" customHeight="1">
      <c r="A674" s="26" t="e">
        <f>IF(#REF!="","",#REF!)</f>
        <v>#REF!</v>
      </c>
      <c r="B674" s="25" t="e">
        <f>IF(#REF!="","",#REF!)</f>
        <v>#REF!</v>
      </c>
      <c r="D674" s="7"/>
      <c r="F674" s="7"/>
      <c r="H674" s="7"/>
      <c r="J674" s="7"/>
      <c r="L674" s="7"/>
      <c r="N674" s="7"/>
      <c r="P674" s="7"/>
      <c r="R674" s="7"/>
    </row>
    <row r="675" spans="1:18" ht="21.6" customHeight="1">
      <c r="A675" s="26" t="e">
        <f>IF(#REF!="","",#REF!)</f>
        <v>#REF!</v>
      </c>
      <c r="B675" s="25" t="e">
        <f>IF(#REF!="","",#REF!)</f>
        <v>#REF!</v>
      </c>
      <c r="D675" s="7"/>
      <c r="F675" s="7"/>
      <c r="H675" s="7"/>
      <c r="J675" s="7"/>
      <c r="L675" s="7"/>
      <c r="N675" s="7"/>
      <c r="P675" s="7"/>
      <c r="R675" s="7"/>
    </row>
    <row r="676" spans="1:18" ht="9" customHeight="1">
      <c r="A676" s="26" t="e">
        <f>IF(#REF!="","",#REF!)</f>
        <v>#REF!</v>
      </c>
      <c r="B676" s="25" t="e">
        <f>IF(#REF!="","",#REF!)</f>
        <v>#REF!</v>
      </c>
      <c r="D676" s="7"/>
      <c r="F676" s="7"/>
      <c r="H676" s="7"/>
      <c r="J676" s="7"/>
      <c r="L676" s="7"/>
      <c r="N676" s="7"/>
      <c r="P676" s="7"/>
      <c r="R676" s="7"/>
    </row>
    <row r="677" spans="1:18" ht="21.6" customHeight="1">
      <c r="A677" s="26" t="e">
        <f>IF(#REF!="","",#REF!)</f>
        <v>#REF!</v>
      </c>
      <c r="B677" s="25" t="e">
        <f>IF(#REF!="","",#REF!)</f>
        <v>#REF!</v>
      </c>
      <c r="D677" s="7"/>
      <c r="F677" s="7"/>
      <c r="H677" s="7"/>
      <c r="J677" s="7"/>
      <c r="L677" s="7"/>
      <c r="N677" s="7"/>
      <c r="P677" s="7"/>
      <c r="R677" s="7"/>
    </row>
    <row r="678" spans="1:18" ht="9" customHeight="1">
      <c r="A678" s="26" t="e">
        <f>IF(#REF!="","",#REF!)</f>
        <v>#REF!</v>
      </c>
      <c r="B678" s="25" t="e">
        <f>IF(#REF!="","",#REF!)</f>
        <v>#REF!</v>
      </c>
      <c r="D678" s="7"/>
      <c r="F678" s="7"/>
      <c r="H678" s="7"/>
      <c r="J678" s="7"/>
      <c r="L678" s="7"/>
      <c r="N678" s="7"/>
      <c r="P678" s="7"/>
      <c r="R678" s="7"/>
    </row>
    <row r="679" spans="1:18" ht="21.6" customHeight="1">
      <c r="A679" s="26" t="e">
        <f>IF(#REF!="","",#REF!)</f>
        <v>#REF!</v>
      </c>
      <c r="B679" s="25" t="e">
        <f>IF(#REF!="","",#REF!)</f>
        <v>#REF!</v>
      </c>
    </row>
    <row r="680" spans="1:18" ht="9" customHeight="1">
      <c r="A680" s="26" t="e">
        <f>IF(#REF!="","",#REF!)</f>
        <v>#REF!</v>
      </c>
      <c r="B680" s="25" t="e">
        <f>IF(#REF!="","",#REF!)</f>
        <v>#REF!</v>
      </c>
    </row>
    <row r="681" spans="1:18" ht="21.6" customHeight="1">
      <c r="A681" s="26" t="e">
        <f>IF(#REF!="","",#REF!)</f>
        <v>#REF!</v>
      </c>
      <c r="B681" s="25" t="e">
        <f>IF(#REF!="","",#REF!)</f>
        <v>#REF!</v>
      </c>
    </row>
    <row r="682" spans="1:18" ht="9" customHeight="1">
      <c r="A682" s="26" t="e">
        <f>IF(#REF!="","",#REF!)</f>
        <v>#REF!</v>
      </c>
      <c r="B682" s="25" t="e">
        <f>IF(#REF!="","",#REF!)</f>
        <v>#REF!</v>
      </c>
    </row>
    <row r="683" spans="1:18" ht="21.6" customHeight="1">
      <c r="A683" s="26" t="e">
        <f>IF(#REF!="","",#REF!)</f>
        <v>#REF!</v>
      </c>
      <c r="B683" s="25" t="e">
        <f>IF(#REF!="","",#REF!)</f>
        <v>#REF!</v>
      </c>
    </row>
    <row r="684" spans="1:18" ht="9" customHeight="1">
      <c r="A684" s="26" t="e">
        <f>IF(#REF!="","",#REF!)</f>
        <v>#REF!</v>
      </c>
      <c r="B684" s="25" t="e">
        <f>IF(#REF!="","",#REF!)</f>
        <v>#REF!</v>
      </c>
    </row>
    <row r="685" spans="1:18" ht="21.6" customHeight="1">
      <c r="A685" s="26" t="e">
        <f>IF(#REF!="","",#REF!)</f>
        <v>#REF!</v>
      </c>
      <c r="B685" s="25" t="e">
        <f>IF(#REF!="","",#REF!)</f>
        <v>#REF!</v>
      </c>
    </row>
    <row r="686" spans="1:18" ht="9" customHeight="1">
      <c r="A686" s="26" t="e">
        <f>IF(#REF!="","",#REF!)</f>
        <v>#REF!</v>
      </c>
      <c r="B686" s="25" t="e">
        <f>IF(#REF!="","",#REF!)</f>
        <v>#REF!</v>
      </c>
    </row>
    <row r="687" spans="1:18" ht="21.6" customHeight="1">
      <c r="A687" s="26" t="e">
        <f>IF(#REF!="","",#REF!)</f>
        <v>#REF!</v>
      </c>
      <c r="B687" s="25" t="e">
        <f>IF(#REF!="","",#REF!)</f>
        <v>#REF!</v>
      </c>
    </row>
    <row r="688" spans="1:18" ht="9" customHeight="1">
      <c r="A688" s="26" t="e">
        <f>IF(#REF!="","",#REF!)</f>
        <v>#REF!</v>
      </c>
      <c r="B688" s="25" t="e">
        <f>IF(#REF!="","",#REF!)</f>
        <v>#REF!</v>
      </c>
    </row>
    <row r="689" spans="1:18" ht="21.6" customHeight="1">
      <c r="A689" s="26" t="e">
        <f>IF(#REF!="","",#REF!)</f>
        <v>#REF!</v>
      </c>
      <c r="B689" s="25" t="e">
        <f>IF(#REF!="","",#REF!)</f>
        <v>#REF!</v>
      </c>
    </row>
    <row r="690" spans="1:18" ht="9" customHeight="1">
      <c r="A690" s="26" t="e">
        <f>IF(#REF!="","",#REF!)</f>
        <v>#REF!</v>
      </c>
      <c r="B690" s="25" t="e">
        <f>IF(#REF!="","",#REF!)</f>
        <v>#REF!</v>
      </c>
      <c r="D690" s="7"/>
      <c r="F690" s="7"/>
      <c r="H690" s="7"/>
      <c r="J690" s="7"/>
      <c r="L690" s="7"/>
      <c r="N690" s="7"/>
      <c r="P690" s="7"/>
      <c r="R690" s="7"/>
    </row>
    <row r="691" spans="1:18" ht="21.6" customHeight="1">
      <c r="A691" s="26" t="e">
        <f>IF(#REF!="","",#REF!)</f>
        <v>#REF!</v>
      </c>
      <c r="B691" s="25" t="e">
        <f>IF(#REF!="","",#REF!)</f>
        <v>#REF!</v>
      </c>
      <c r="D691" s="7"/>
      <c r="F691" s="7"/>
      <c r="H691" s="7"/>
      <c r="J691" s="7"/>
      <c r="L691" s="7"/>
      <c r="N691" s="7"/>
      <c r="P691" s="7"/>
      <c r="R691" s="7"/>
    </row>
    <row r="692" spans="1:18" ht="9" customHeight="1">
      <c r="A692" s="26" t="e">
        <f>IF(#REF!="","",#REF!)</f>
        <v>#REF!</v>
      </c>
      <c r="B692" s="25" t="e">
        <f>IF(#REF!="","",#REF!)</f>
        <v>#REF!</v>
      </c>
      <c r="D692" s="7"/>
      <c r="F692" s="7"/>
      <c r="H692" s="7"/>
      <c r="J692" s="7"/>
      <c r="L692" s="7"/>
      <c r="N692" s="7"/>
      <c r="P692" s="7"/>
      <c r="R692" s="7"/>
    </row>
    <row r="693" spans="1:18" ht="21.6" customHeight="1">
      <c r="A693" s="26" t="e">
        <f>IF(#REF!="","",#REF!)</f>
        <v>#REF!</v>
      </c>
      <c r="B693" s="25" t="e">
        <f>IF(#REF!="","",#REF!)</f>
        <v>#REF!</v>
      </c>
      <c r="D693" s="7"/>
      <c r="F693" s="7"/>
      <c r="H693" s="7"/>
      <c r="J693" s="7"/>
      <c r="L693" s="7"/>
      <c r="N693" s="7"/>
      <c r="P693" s="7"/>
      <c r="R693" s="7"/>
    </row>
    <row r="694" spans="1:18" ht="9" customHeight="1">
      <c r="A694" s="26" t="e">
        <f>IF(#REF!="","",#REF!)</f>
        <v>#REF!</v>
      </c>
      <c r="B694" s="25" t="e">
        <f>IF(#REF!="","",#REF!)</f>
        <v>#REF!</v>
      </c>
      <c r="D694" s="7"/>
      <c r="F694" s="7"/>
      <c r="H694" s="7"/>
      <c r="J694" s="7"/>
      <c r="L694" s="7"/>
      <c r="N694" s="7"/>
      <c r="P694" s="7"/>
      <c r="R694" s="7"/>
    </row>
    <row r="695" spans="1:18" ht="21.6" customHeight="1">
      <c r="A695" s="26" t="e">
        <f>IF(#REF!="","",#REF!)</f>
        <v>#REF!</v>
      </c>
      <c r="B695" s="25" t="e">
        <f>IF(#REF!="","",#REF!)</f>
        <v>#REF!</v>
      </c>
      <c r="D695" s="7"/>
      <c r="F695" s="7"/>
      <c r="H695" s="7"/>
      <c r="J695" s="7"/>
      <c r="L695" s="7"/>
      <c r="N695" s="7"/>
      <c r="P695" s="7"/>
      <c r="R695" s="7"/>
    </row>
    <row r="696" spans="1:18" ht="9" customHeight="1">
      <c r="A696" s="26" t="e">
        <f>IF(#REF!="","",#REF!)</f>
        <v>#REF!</v>
      </c>
      <c r="B696" s="25" t="e">
        <f>IF(#REF!="","",#REF!)</f>
        <v>#REF!</v>
      </c>
      <c r="D696" s="7"/>
      <c r="F696" s="7"/>
      <c r="H696" s="7"/>
      <c r="J696" s="7"/>
      <c r="L696" s="7"/>
      <c r="N696" s="7"/>
      <c r="P696" s="7"/>
      <c r="R696" s="7"/>
    </row>
    <row r="697" spans="1:18" ht="21.6" customHeight="1">
      <c r="A697" s="26" t="e">
        <f>IF(#REF!="","",#REF!)</f>
        <v>#REF!</v>
      </c>
      <c r="B697" s="25" t="e">
        <f>IF(#REF!="","",#REF!)</f>
        <v>#REF!</v>
      </c>
      <c r="D697" s="7"/>
      <c r="F697" s="7"/>
      <c r="H697" s="7"/>
      <c r="J697" s="7"/>
      <c r="L697" s="7"/>
      <c r="N697" s="7"/>
      <c r="P697" s="7"/>
      <c r="R697" s="7"/>
    </row>
    <row r="698" spans="1:18" ht="9" customHeight="1">
      <c r="A698" s="26" t="e">
        <f>IF(#REF!="","",#REF!)</f>
        <v>#REF!</v>
      </c>
      <c r="B698" s="25" t="e">
        <f>IF(#REF!="","",#REF!)</f>
        <v>#REF!</v>
      </c>
      <c r="D698" s="7"/>
      <c r="F698" s="7"/>
      <c r="H698" s="7"/>
      <c r="J698" s="7"/>
      <c r="L698" s="7"/>
      <c r="N698" s="7"/>
      <c r="P698" s="7"/>
      <c r="R698" s="7"/>
    </row>
    <row r="699" spans="1:18" ht="21.6" customHeight="1">
      <c r="A699" s="26" t="e">
        <f>IF(#REF!="","",#REF!)</f>
        <v>#REF!</v>
      </c>
      <c r="B699" s="25" t="e">
        <f>IF(#REF!="","",#REF!)</f>
        <v>#REF!</v>
      </c>
    </row>
    <row r="700" spans="1:18" ht="9" customHeight="1">
      <c r="A700" s="26" t="e">
        <f>IF(#REF!="","",#REF!)</f>
        <v>#REF!</v>
      </c>
      <c r="B700" s="25" t="e">
        <f>IF(#REF!="","",#REF!)</f>
        <v>#REF!</v>
      </c>
    </row>
    <row r="701" spans="1:18" ht="21.6" customHeight="1">
      <c r="A701" s="26" t="e">
        <f>IF(#REF!="","",#REF!)</f>
        <v>#REF!</v>
      </c>
      <c r="B701" s="25" t="e">
        <f>IF(#REF!="","",#REF!)</f>
        <v>#REF!</v>
      </c>
    </row>
    <row r="702" spans="1:18" ht="9" customHeight="1">
      <c r="A702" s="26" t="e">
        <f>IF(#REF!="","",#REF!)</f>
        <v>#REF!</v>
      </c>
      <c r="B702" s="25" t="e">
        <f>IF(#REF!="","",#REF!)</f>
        <v>#REF!</v>
      </c>
    </row>
    <row r="703" spans="1:18" ht="21.6" customHeight="1">
      <c r="A703" s="26" t="e">
        <f>IF(#REF!="","",#REF!)</f>
        <v>#REF!</v>
      </c>
      <c r="B703" s="25" t="e">
        <f>IF(#REF!="","",#REF!)</f>
        <v>#REF!</v>
      </c>
    </row>
    <row r="704" spans="1:18" ht="9" customHeight="1">
      <c r="A704" s="26" t="e">
        <f>IF(#REF!="","",#REF!)</f>
        <v>#REF!</v>
      </c>
      <c r="B704" s="25" t="e">
        <f>IF(#REF!="","",#REF!)</f>
        <v>#REF!</v>
      </c>
    </row>
    <row r="705" spans="1:18" ht="21.6" customHeight="1">
      <c r="A705" s="26" t="e">
        <f>IF(#REF!="","",#REF!)</f>
        <v>#REF!</v>
      </c>
      <c r="B705" s="25" t="e">
        <f>IF(#REF!="","",#REF!)</f>
        <v>#REF!</v>
      </c>
    </row>
    <row r="706" spans="1:18" ht="9" customHeight="1">
      <c r="A706" s="26" t="e">
        <f>IF(#REF!="","",#REF!)</f>
        <v>#REF!</v>
      </c>
      <c r="B706" s="25" t="e">
        <f>IF(#REF!="","",#REF!)</f>
        <v>#REF!</v>
      </c>
    </row>
    <row r="707" spans="1:18" ht="21.6" customHeight="1">
      <c r="A707" s="26" t="e">
        <f>IF(#REF!="","",#REF!)</f>
        <v>#REF!</v>
      </c>
      <c r="B707" s="25" t="e">
        <f>IF(#REF!="","",#REF!)</f>
        <v>#REF!</v>
      </c>
    </row>
    <row r="708" spans="1:18" ht="9" customHeight="1">
      <c r="A708" s="26" t="e">
        <f>IF(#REF!="","",#REF!)</f>
        <v>#REF!</v>
      </c>
      <c r="B708" s="25" t="e">
        <f>IF(#REF!="","",#REF!)</f>
        <v>#REF!</v>
      </c>
    </row>
    <row r="709" spans="1:18" ht="21.6" customHeight="1">
      <c r="A709" s="26" t="e">
        <f>IF(#REF!="","",#REF!)</f>
        <v>#REF!</v>
      </c>
      <c r="B709" s="25" t="e">
        <f>IF(#REF!="","",#REF!)</f>
        <v>#REF!</v>
      </c>
    </row>
    <row r="710" spans="1:18" ht="9" customHeight="1">
      <c r="A710" s="26" t="e">
        <f>IF(#REF!="","",#REF!)</f>
        <v>#REF!</v>
      </c>
      <c r="B710" s="25" t="e">
        <f>IF(#REF!="","",#REF!)</f>
        <v>#REF!</v>
      </c>
      <c r="D710" s="7"/>
      <c r="F710" s="7"/>
      <c r="H710" s="7"/>
      <c r="J710" s="7"/>
      <c r="L710" s="7"/>
      <c r="N710" s="7"/>
      <c r="P710" s="7"/>
      <c r="R710" s="7"/>
    </row>
    <row r="711" spans="1:18" ht="21.6" customHeight="1">
      <c r="A711" s="26" t="e">
        <f>IF(#REF!="","",#REF!)</f>
        <v>#REF!</v>
      </c>
      <c r="B711" s="25" t="e">
        <f>IF(#REF!="","",#REF!)</f>
        <v>#REF!</v>
      </c>
      <c r="D711" s="7"/>
      <c r="F711" s="7"/>
      <c r="H711" s="7"/>
      <c r="J711" s="7"/>
      <c r="L711" s="7"/>
      <c r="N711" s="7"/>
      <c r="P711" s="7"/>
      <c r="R711" s="7"/>
    </row>
    <row r="712" spans="1:18" ht="9" customHeight="1">
      <c r="A712" s="26" t="e">
        <f>IF(#REF!="","",#REF!)</f>
        <v>#REF!</v>
      </c>
      <c r="B712" s="25" t="e">
        <f>IF(#REF!="","",#REF!)</f>
        <v>#REF!</v>
      </c>
      <c r="D712" s="7"/>
      <c r="F712" s="7"/>
      <c r="H712" s="7"/>
      <c r="J712" s="7"/>
      <c r="L712" s="7"/>
      <c r="N712" s="7"/>
      <c r="P712" s="7"/>
      <c r="R712" s="7"/>
    </row>
    <row r="713" spans="1:18" ht="21.6" customHeight="1">
      <c r="A713" s="26" t="e">
        <f>IF(#REF!="","",#REF!)</f>
        <v>#REF!</v>
      </c>
      <c r="B713" s="25" t="e">
        <f>IF(#REF!="","",#REF!)</f>
        <v>#REF!</v>
      </c>
      <c r="D713" s="7"/>
      <c r="F713" s="7"/>
      <c r="H713" s="7"/>
      <c r="J713" s="7"/>
      <c r="L713" s="7"/>
      <c r="N713" s="7"/>
      <c r="P713" s="7"/>
      <c r="R713" s="7"/>
    </row>
    <row r="714" spans="1:18" ht="9" customHeight="1">
      <c r="A714" s="26" t="e">
        <f>IF(#REF!="","",#REF!)</f>
        <v>#REF!</v>
      </c>
      <c r="B714" s="25" t="e">
        <f>IF(#REF!="","",#REF!)</f>
        <v>#REF!</v>
      </c>
      <c r="D714" s="7"/>
      <c r="F714" s="7"/>
      <c r="H714" s="7"/>
      <c r="J714" s="7"/>
      <c r="L714" s="7"/>
      <c r="N714" s="7"/>
      <c r="P714" s="7"/>
      <c r="R714" s="7"/>
    </row>
    <row r="715" spans="1:18" ht="21.6" customHeight="1">
      <c r="A715" s="26" t="e">
        <f>IF(#REF!="","",#REF!)</f>
        <v>#REF!</v>
      </c>
      <c r="B715" s="25" t="e">
        <f>IF(#REF!="","",#REF!)</f>
        <v>#REF!</v>
      </c>
      <c r="D715" s="7"/>
      <c r="F715" s="7"/>
      <c r="H715" s="7"/>
      <c r="J715" s="7"/>
      <c r="L715" s="7"/>
      <c r="N715" s="7"/>
      <c r="P715" s="7"/>
      <c r="R715" s="7"/>
    </row>
    <row r="716" spans="1:18" ht="9" customHeight="1">
      <c r="A716" s="26" t="e">
        <f>IF(#REF!="","",#REF!)</f>
        <v>#REF!</v>
      </c>
      <c r="B716" s="25" t="e">
        <f>IF(#REF!="","",#REF!)</f>
        <v>#REF!</v>
      </c>
      <c r="D716" s="7"/>
      <c r="F716" s="7"/>
      <c r="H716" s="7"/>
      <c r="J716" s="7"/>
      <c r="L716" s="7"/>
      <c r="N716" s="7"/>
      <c r="P716" s="7"/>
      <c r="R716" s="7"/>
    </row>
    <row r="717" spans="1:18" ht="21.6" customHeight="1">
      <c r="A717" s="26" t="e">
        <f>IF(#REF!="","",#REF!)</f>
        <v>#REF!</v>
      </c>
      <c r="B717" s="25" t="e">
        <f>IF(#REF!="","",#REF!)</f>
        <v>#REF!</v>
      </c>
      <c r="D717" s="7"/>
      <c r="F717" s="7"/>
      <c r="H717" s="7"/>
      <c r="J717" s="7"/>
      <c r="L717" s="7"/>
      <c r="N717" s="7"/>
      <c r="P717" s="7"/>
      <c r="R717" s="7"/>
    </row>
    <row r="718" spans="1:18" ht="9" customHeight="1">
      <c r="A718" s="26" t="e">
        <f>IF(#REF!="","",#REF!)</f>
        <v>#REF!</v>
      </c>
      <c r="B718" s="25" t="e">
        <f>IF(#REF!="","",#REF!)</f>
        <v>#REF!</v>
      </c>
      <c r="D718" s="7"/>
      <c r="F718" s="7"/>
      <c r="H718" s="7"/>
      <c r="J718" s="7"/>
      <c r="L718" s="7"/>
      <c r="N718" s="7"/>
      <c r="P718" s="7"/>
      <c r="R718" s="7"/>
    </row>
    <row r="719" spans="1:18" ht="21.6" customHeight="1">
      <c r="A719" s="26" t="e">
        <f>IF(#REF!="","",#REF!)</f>
        <v>#REF!</v>
      </c>
      <c r="B719" s="25" t="e">
        <f>IF(#REF!="","",#REF!)</f>
        <v>#REF!</v>
      </c>
    </row>
    <row r="720" spans="1:18" ht="9" customHeight="1">
      <c r="A720" s="26" t="e">
        <f>IF(#REF!="","",#REF!)</f>
        <v>#REF!</v>
      </c>
      <c r="B720" s="25" t="e">
        <f>IF(#REF!="","",#REF!)</f>
        <v>#REF!</v>
      </c>
    </row>
    <row r="721" spans="1:18" ht="21.6" customHeight="1">
      <c r="A721" s="26" t="e">
        <f>IF(#REF!="","",#REF!)</f>
        <v>#REF!</v>
      </c>
      <c r="B721" s="25" t="e">
        <f>IF(#REF!="","",#REF!)</f>
        <v>#REF!</v>
      </c>
    </row>
    <row r="722" spans="1:18" ht="9" customHeight="1">
      <c r="A722" s="26" t="e">
        <f>IF(#REF!="","",#REF!)</f>
        <v>#REF!</v>
      </c>
      <c r="B722" s="25" t="e">
        <f>IF(#REF!="","",#REF!)</f>
        <v>#REF!</v>
      </c>
    </row>
    <row r="723" spans="1:18" ht="21.6" customHeight="1">
      <c r="A723" s="26" t="e">
        <f>IF(#REF!="","",#REF!)</f>
        <v>#REF!</v>
      </c>
      <c r="B723" s="25" t="e">
        <f>IF(#REF!="","",#REF!)</f>
        <v>#REF!</v>
      </c>
    </row>
    <row r="724" spans="1:18" ht="9" customHeight="1">
      <c r="A724" s="26" t="e">
        <f>IF(#REF!="","",#REF!)</f>
        <v>#REF!</v>
      </c>
      <c r="B724" s="25" t="e">
        <f>IF(#REF!="","",#REF!)</f>
        <v>#REF!</v>
      </c>
    </row>
    <row r="725" spans="1:18" ht="21.6" customHeight="1">
      <c r="A725" s="26" t="e">
        <f>IF(#REF!="","",#REF!)</f>
        <v>#REF!</v>
      </c>
      <c r="B725" s="25" t="e">
        <f>IF(#REF!="","",#REF!)</f>
        <v>#REF!</v>
      </c>
    </row>
    <row r="726" spans="1:18" ht="9" customHeight="1">
      <c r="A726" s="26" t="e">
        <f>IF(#REF!="","",#REF!)</f>
        <v>#REF!</v>
      </c>
      <c r="B726" s="25" t="e">
        <f>IF(#REF!="","",#REF!)</f>
        <v>#REF!</v>
      </c>
    </row>
    <row r="727" spans="1:18" ht="21.6" customHeight="1">
      <c r="A727" s="26" t="e">
        <f>IF(#REF!="","",#REF!)</f>
        <v>#REF!</v>
      </c>
      <c r="B727" s="25" t="e">
        <f>IF(#REF!="","",#REF!)</f>
        <v>#REF!</v>
      </c>
    </row>
    <row r="728" spans="1:18" ht="9" customHeight="1">
      <c r="A728" s="26" t="e">
        <f>IF(#REF!="","",#REF!)</f>
        <v>#REF!</v>
      </c>
      <c r="B728" s="25" t="e">
        <f>IF(#REF!="","",#REF!)</f>
        <v>#REF!</v>
      </c>
    </row>
    <row r="729" spans="1:18" ht="21.6" customHeight="1">
      <c r="A729" s="26" t="e">
        <f>IF(#REF!="","",#REF!)</f>
        <v>#REF!</v>
      </c>
      <c r="B729" s="25" t="e">
        <f>IF(#REF!="","",#REF!)</f>
        <v>#REF!</v>
      </c>
    </row>
    <row r="730" spans="1:18" ht="9" customHeight="1">
      <c r="A730" s="26" t="e">
        <f>IF(#REF!="","",#REF!)</f>
        <v>#REF!</v>
      </c>
      <c r="B730" s="25" t="e">
        <f>IF(#REF!="","",#REF!)</f>
        <v>#REF!</v>
      </c>
      <c r="D730" s="7"/>
      <c r="F730" s="7"/>
      <c r="H730" s="7"/>
      <c r="J730" s="7"/>
      <c r="L730" s="7"/>
      <c r="N730" s="7"/>
      <c r="P730" s="7"/>
      <c r="R730" s="7"/>
    </row>
    <row r="731" spans="1:18" ht="21.6" customHeight="1">
      <c r="A731" s="26" t="e">
        <f>IF(#REF!="","",#REF!)</f>
        <v>#REF!</v>
      </c>
      <c r="B731" s="25" t="e">
        <f>IF(#REF!="","",#REF!)</f>
        <v>#REF!</v>
      </c>
      <c r="D731" s="7"/>
      <c r="F731" s="7"/>
      <c r="H731" s="7"/>
      <c r="J731" s="7"/>
      <c r="L731" s="7"/>
      <c r="N731" s="7"/>
      <c r="P731" s="7"/>
      <c r="R731" s="7"/>
    </row>
    <row r="732" spans="1:18" ht="9" customHeight="1">
      <c r="A732" s="26" t="e">
        <f>IF(#REF!="","",#REF!)</f>
        <v>#REF!</v>
      </c>
      <c r="B732" s="25" t="e">
        <f>IF(#REF!="","",#REF!)</f>
        <v>#REF!</v>
      </c>
      <c r="D732" s="7"/>
      <c r="F732" s="7"/>
      <c r="H732" s="7"/>
      <c r="J732" s="7"/>
      <c r="L732" s="7"/>
      <c r="N732" s="7"/>
      <c r="P732" s="7"/>
      <c r="R732" s="7"/>
    </row>
    <row r="733" spans="1:18" ht="21.6" customHeight="1">
      <c r="A733" s="26" t="e">
        <f>IF(#REF!="","",#REF!)</f>
        <v>#REF!</v>
      </c>
      <c r="B733" s="25" t="e">
        <f>IF(#REF!="","",#REF!)</f>
        <v>#REF!</v>
      </c>
      <c r="D733" s="7"/>
      <c r="F733" s="7"/>
      <c r="H733" s="7"/>
      <c r="J733" s="7"/>
      <c r="L733" s="7"/>
      <c r="N733" s="7"/>
      <c r="P733" s="7"/>
      <c r="R733" s="7"/>
    </row>
    <row r="734" spans="1:18" ht="9" customHeight="1">
      <c r="A734" s="26" t="e">
        <f>IF(#REF!="","",#REF!)</f>
        <v>#REF!</v>
      </c>
      <c r="B734" s="25" t="e">
        <f>IF(#REF!="","",#REF!)</f>
        <v>#REF!</v>
      </c>
      <c r="D734" s="7"/>
      <c r="F734" s="7"/>
      <c r="H734" s="7"/>
      <c r="J734" s="7"/>
      <c r="L734" s="7"/>
      <c r="N734" s="7"/>
      <c r="P734" s="7"/>
      <c r="R734" s="7"/>
    </row>
    <row r="735" spans="1:18" ht="21.6" customHeight="1">
      <c r="A735" s="26" t="e">
        <f>IF(#REF!="","",#REF!)</f>
        <v>#REF!</v>
      </c>
      <c r="B735" s="25" t="e">
        <f>IF(#REF!="","",#REF!)</f>
        <v>#REF!</v>
      </c>
      <c r="D735" s="7"/>
      <c r="F735" s="7"/>
      <c r="H735" s="7"/>
      <c r="J735" s="7"/>
      <c r="L735" s="7"/>
      <c r="N735" s="7"/>
      <c r="P735" s="7"/>
      <c r="R735" s="7"/>
    </row>
    <row r="736" spans="1:18" ht="9" customHeight="1">
      <c r="A736" s="26" t="e">
        <f>IF(#REF!="","",#REF!)</f>
        <v>#REF!</v>
      </c>
      <c r="B736" s="25" t="e">
        <f>IF(#REF!="","",#REF!)</f>
        <v>#REF!</v>
      </c>
      <c r="D736" s="7"/>
      <c r="F736" s="7"/>
      <c r="H736" s="7"/>
      <c r="J736" s="7"/>
      <c r="L736" s="7"/>
      <c r="N736" s="7"/>
      <c r="P736" s="7"/>
      <c r="R736" s="7"/>
    </row>
    <row r="737" spans="1:18" ht="21.6" customHeight="1">
      <c r="A737" s="26" t="e">
        <f>IF(#REF!="","",#REF!)</f>
        <v>#REF!</v>
      </c>
      <c r="B737" s="25" t="e">
        <f>IF(#REF!="","",#REF!)</f>
        <v>#REF!</v>
      </c>
      <c r="D737" s="7"/>
      <c r="F737" s="7"/>
      <c r="H737" s="7"/>
      <c r="J737" s="7"/>
      <c r="L737" s="7"/>
      <c r="N737" s="7"/>
      <c r="P737" s="7"/>
      <c r="R737" s="7"/>
    </row>
    <row r="738" spans="1:18" ht="9" customHeight="1">
      <c r="A738" s="26" t="e">
        <f>IF(#REF!="","",#REF!)</f>
        <v>#REF!</v>
      </c>
      <c r="B738" s="25" t="e">
        <f>IF(#REF!="","",#REF!)</f>
        <v>#REF!</v>
      </c>
      <c r="D738" s="7"/>
      <c r="F738" s="7"/>
      <c r="H738" s="7"/>
      <c r="J738" s="7"/>
      <c r="L738" s="7"/>
      <c r="N738" s="7"/>
      <c r="P738" s="7"/>
      <c r="R738" s="7"/>
    </row>
    <row r="739" spans="1:18" ht="21.6" customHeight="1">
      <c r="A739" s="26" t="e">
        <f>IF(#REF!="","",#REF!)</f>
        <v>#REF!</v>
      </c>
      <c r="B739" s="25" t="e">
        <f>IF(#REF!="","",#REF!)</f>
        <v>#REF!</v>
      </c>
    </row>
    <row r="740" spans="1:18" ht="9" customHeight="1">
      <c r="A740" s="26" t="e">
        <f>IF(#REF!="","",#REF!)</f>
        <v>#REF!</v>
      </c>
      <c r="B740" s="25" t="e">
        <f>IF(#REF!="","",#REF!)</f>
        <v>#REF!</v>
      </c>
    </row>
    <row r="741" spans="1:18" ht="21.6" customHeight="1">
      <c r="A741" s="26" t="e">
        <f>IF(#REF!="","",#REF!)</f>
        <v>#REF!</v>
      </c>
      <c r="B741" s="25" t="e">
        <f>IF(#REF!="","",#REF!)</f>
        <v>#REF!</v>
      </c>
    </row>
    <row r="742" spans="1:18" ht="9" customHeight="1">
      <c r="A742" s="26" t="e">
        <f>IF(#REF!="","",#REF!)</f>
        <v>#REF!</v>
      </c>
      <c r="B742" s="25" t="e">
        <f>IF(#REF!="","",#REF!)</f>
        <v>#REF!</v>
      </c>
    </row>
    <row r="743" spans="1:18" ht="21.6" customHeight="1">
      <c r="A743" s="26" t="e">
        <f>IF(#REF!="","",#REF!)</f>
        <v>#REF!</v>
      </c>
      <c r="B743" s="25" t="e">
        <f>IF(#REF!="","",#REF!)</f>
        <v>#REF!</v>
      </c>
    </row>
    <row r="744" spans="1:18" ht="9" customHeight="1">
      <c r="A744" s="26" t="e">
        <f>IF(#REF!="","",#REF!)</f>
        <v>#REF!</v>
      </c>
      <c r="B744" s="25" t="e">
        <f>IF(#REF!="","",#REF!)</f>
        <v>#REF!</v>
      </c>
    </row>
    <row r="745" spans="1:18" ht="21.6" customHeight="1">
      <c r="A745" s="26" t="e">
        <f>IF(#REF!="","",#REF!)</f>
        <v>#REF!</v>
      </c>
      <c r="B745" s="25" t="e">
        <f>IF(#REF!="","",#REF!)</f>
        <v>#REF!</v>
      </c>
    </row>
    <row r="746" spans="1:18" ht="9" customHeight="1">
      <c r="A746" s="26" t="e">
        <f>IF(#REF!="","",#REF!)</f>
        <v>#REF!</v>
      </c>
      <c r="B746" s="25" t="e">
        <f>IF(#REF!="","",#REF!)</f>
        <v>#REF!</v>
      </c>
    </row>
    <row r="747" spans="1:18" ht="21.6" customHeight="1">
      <c r="A747" s="26" t="e">
        <f>IF(#REF!="","",#REF!)</f>
        <v>#REF!</v>
      </c>
      <c r="B747" s="25" t="e">
        <f>IF(#REF!="","",#REF!)</f>
        <v>#REF!</v>
      </c>
    </row>
    <row r="748" spans="1:18" ht="9" customHeight="1">
      <c r="A748" s="26" t="e">
        <f>IF(#REF!="","",#REF!)</f>
        <v>#REF!</v>
      </c>
      <c r="B748" s="25" t="e">
        <f>IF(#REF!="","",#REF!)</f>
        <v>#REF!</v>
      </c>
    </row>
    <row r="749" spans="1:18" ht="21.6" customHeight="1">
      <c r="A749" s="26" t="e">
        <f>IF(#REF!="","",#REF!)</f>
        <v>#REF!</v>
      </c>
      <c r="B749" s="25" t="e">
        <f>IF(#REF!="","",#REF!)</f>
        <v>#REF!</v>
      </c>
    </row>
    <row r="750" spans="1:18" ht="9" customHeight="1">
      <c r="A750" s="26" t="e">
        <f>IF(#REF!="","",#REF!)</f>
        <v>#REF!</v>
      </c>
      <c r="B750" s="25" t="e">
        <f>IF(#REF!="","",#REF!)</f>
        <v>#REF!</v>
      </c>
      <c r="D750" s="7"/>
      <c r="F750" s="7"/>
      <c r="H750" s="7"/>
      <c r="J750" s="7"/>
      <c r="L750" s="7"/>
      <c r="N750" s="7"/>
      <c r="P750" s="7"/>
      <c r="R750" s="7"/>
    </row>
    <row r="751" spans="1:18" ht="21.6" customHeight="1">
      <c r="A751" s="26" t="e">
        <f>IF(#REF!="","",#REF!)</f>
        <v>#REF!</v>
      </c>
      <c r="B751" s="25" t="e">
        <f>IF(#REF!="","",#REF!)</f>
        <v>#REF!</v>
      </c>
      <c r="D751" s="7"/>
      <c r="F751" s="7"/>
      <c r="H751" s="7"/>
      <c r="J751" s="7"/>
      <c r="L751" s="7"/>
      <c r="N751" s="7"/>
      <c r="P751" s="7"/>
      <c r="R751" s="7"/>
    </row>
    <row r="752" spans="1:18" ht="9" customHeight="1">
      <c r="A752" s="26" t="e">
        <f>IF(#REF!="","",#REF!)</f>
        <v>#REF!</v>
      </c>
      <c r="B752" s="25" t="e">
        <f>IF(#REF!="","",#REF!)</f>
        <v>#REF!</v>
      </c>
      <c r="D752" s="7"/>
      <c r="F752" s="7"/>
      <c r="H752" s="7"/>
      <c r="J752" s="7"/>
      <c r="L752" s="7"/>
      <c r="N752" s="7"/>
      <c r="P752" s="7"/>
      <c r="R752" s="7"/>
    </row>
    <row r="753" spans="1:18" ht="21.6" customHeight="1">
      <c r="A753" s="26" t="e">
        <f>IF(#REF!="","",#REF!)</f>
        <v>#REF!</v>
      </c>
      <c r="B753" s="25" t="e">
        <f>IF(#REF!="","",#REF!)</f>
        <v>#REF!</v>
      </c>
      <c r="D753" s="7"/>
      <c r="F753" s="7"/>
      <c r="H753" s="7"/>
      <c r="J753" s="7"/>
      <c r="L753" s="7"/>
      <c r="N753" s="7"/>
      <c r="P753" s="7"/>
      <c r="R753" s="7"/>
    </row>
    <row r="754" spans="1:18" ht="9" customHeight="1">
      <c r="A754" s="26" t="e">
        <f>IF(#REF!="","",#REF!)</f>
        <v>#REF!</v>
      </c>
      <c r="B754" s="25" t="e">
        <f>IF(#REF!="","",#REF!)</f>
        <v>#REF!</v>
      </c>
      <c r="D754" s="7"/>
      <c r="F754" s="7"/>
      <c r="H754" s="7"/>
      <c r="J754" s="7"/>
      <c r="L754" s="7"/>
      <c r="N754" s="7"/>
      <c r="P754" s="7"/>
      <c r="R754" s="7"/>
    </row>
    <row r="755" spans="1:18" ht="21.6" customHeight="1">
      <c r="A755" s="26" t="e">
        <f>IF(#REF!="","",#REF!)</f>
        <v>#REF!</v>
      </c>
      <c r="B755" s="25" t="e">
        <f>IF(#REF!="","",#REF!)</f>
        <v>#REF!</v>
      </c>
      <c r="D755" s="7"/>
      <c r="F755" s="7"/>
      <c r="H755" s="7"/>
      <c r="J755" s="7"/>
      <c r="L755" s="7"/>
      <c r="N755" s="7"/>
      <c r="P755" s="7"/>
      <c r="R755" s="7"/>
    </row>
    <row r="756" spans="1:18" ht="9" customHeight="1">
      <c r="A756" s="26" t="e">
        <f>IF(#REF!="","",#REF!)</f>
        <v>#REF!</v>
      </c>
      <c r="B756" s="25" t="e">
        <f>IF(#REF!="","",#REF!)</f>
        <v>#REF!</v>
      </c>
      <c r="D756" s="7"/>
      <c r="F756" s="7"/>
      <c r="H756" s="7"/>
      <c r="J756" s="7"/>
      <c r="L756" s="7"/>
      <c r="N756" s="7"/>
      <c r="P756" s="7"/>
      <c r="R756" s="7"/>
    </row>
    <row r="757" spans="1:18" ht="21.6" customHeight="1">
      <c r="A757" s="26" t="e">
        <f>IF(#REF!="","",#REF!)</f>
        <v>#REF!</v>
      </c>
      <c r="B757" s="25" t="e">
        <f>IF(#REF!="","",#REF!)</f>
        <v>#REF!</v>
      </c>
      <c r="D757" s="7"/>
      <c r="F757" s="7"/>
      <c r="H757" s="7"/>
      <c r="J757" s="7"/>
      <c r="L757" s="7"/>
      <c r="N757" s="7"/>
      <c r="P757" s="7"/>
      <c r="R757" s="7"/>
    </row>
    <row r="758" spans="1:18" ht="9" customHeight="1">
      <c r="A758" s="26" t="e">
        <f>IF(#REF!="","",#REF!)</f>
        <v>#REF!</v>
      </c>
      <c r="B758" s="25" t="e">
        <f>IF(#REF!="","",#REF!)</f>
        <v>#REF!</v>
      </c>
      <c r="D758" s="7"/>
      <c r="F758" s="7"/>
      <c r="H758" s="7"/>
      <c r="J758" s="7"/>
      <c r="L758" s="7"/>
      <c r="N758" s="7"/>
      <c r="P758" s="7"/>
      <c r="R758" s="7"/>
    </row>
    <row r="759" spans="1:18" ht="21.6" customHeight="1">
      <c r="A759" s="26" t="e">
        <f>IF(#REF!="","",#REF!)</f>
        <v>#REF!</v>
      </c>
      <c r="B759" s="25" t="e">
        <f>IF(#REF!="","",#REF!)</f>
        <v>#REF!</v>
      </c>
    </row>
    <row r="760" spans="1:18" ht="9" customHeight="1">
      <c r="A760" s="26" t="e">
        <f>IF(#REF!="","",#REF!)</f>
        <v>#REF!</v>
      </c>
      <c r="B760" s="25" t="e">
        <f>IF(#REF!="","",#REF!)</f>
        <v>#REF!</v>
      </c>
    </row>
    <row r="761" spans="1:18" ht="21.6" customHeight="1">
      <c r="A761" s="26" t="e">
        <f>IF(#REF!="","",#REF!)</f>
        <v>#REF!</v>
      </c>
      <c r="B761" s="25" t="e">
        <f>IF(#REF!="","",#REF!)</f>
        <v>#REF!</v>
      </c>
    </row>
    <row r="762" spans="1:18" ht="9" customHeight="1">
      <c r="A762" s="26" t="e">
        <f>IF(#REF!="","",#REF!)</f>
        <v>#REF!</v>
      </c>
      <c r="B762" s="25" t="e">
        <f>IF(#REF!="","",#REF!)</f>
        <v>#REF!</v>
      </c>
    </row>
    <row r="763" spans="1:18" ht="21.6" customHeight="1">
      <c r="A763" s="26" t="e">
        <f>IF(#REF!="","",#REF!)</f>
        <v>#REF!</v>
      </c>
      <c r="B763" s="25" t="e">
        <f>IF(#REF!="","",#REF!)</f>
        <v>#REF!</v>
      </c>
    </row>
    <row r="764" spans="1:18" ht="9" customHeight="1">
      <c r="A764" s="26" t="e">
        <f>IF(#REF!="","",#REF!)</f>
        <v>#REF!</v>
      </c>
      <c r="B764" s="25" t="e">
        <f>IF(#REF!="","",#REF!)</f>
        <v>#REF!</v>
      </c>
    </row>
    <row r="765" spans="1:18" ht="21.6" customHeight="1">
      <c r="A765" s="26" t="e">
        <f>IF(#REF!="","",#REF!)</f>
        <v>#REF!</v>
      </c>
      <c r="B765" s="25" t="e">
        <f>IF(#REF!="","",#REF!)</f>
        <v>#REF!</v>
      </c>
    </row>
    <row r="766" spans="1:18" ht="9" customHeight="1">
      <c r="A766" s="26" t="e">
        <f>IF(#REF!="","",#REF!)</f>
        <v>#REF!</v>
      </c>
      <c r="B766" s="25" t="e">
        <f>IF(#REF!="","",#REF!)</f>
        <v>#REF!</v>
      </c>
    </row>
    <row r="767" spans="1:18" ht="21.6" customHeight="1">
      <c r="A767" s="26" t="e">
        <f>IF(#REF!="","",#REF!)</f>
        <v>#REF!</v>
      </c>
      <c r="B767" s="25" t="e">
        <f>IF(#REF!="","",#REF!)</f>
        <v>#REF!</v>
      </c>
    </row>
    <row r="768" spans="1:18" ht="9" customHeight="1">
      <c r="A768" s="26" t="e">
        <f>IF(#REF!="","",#REF!)</f>
        <v>#REF!</v>
      </c>
      <c r="B768" s="25" t="e">
        <f>IF(#REF!="","",#REF!)</f>
        <v>#REF!</v>
      </c>
    </row>
    <row r="769" spans="1:18" ht="21.6" customHeight="1">
      <c r="A769" s="26" t="e">
        <f>IF(#REF!="","",#REF!)</f>
        <v>#REF!</v>
      </c>
      <c r="B769" s="25" t="e">
        <f>IF(#REF!="","",#REF!)</f>
        <v>#REF!</v>
      </c>
    </row>
    <row r="770" spans="1:18" ht="9" customHeight="1">
      <c r="A770" s="26" t="e">
        <f>IF(#REF!="","",#REF!)</f>
        <v>#REF!</v>
      </c>
      <c r="B770" s="25" t="e">
        <f>IF(#REF!="","",#REF!)</f>
        <v>#REF!</v>
      </c>
      <c r="D770" s="7"/>
      <c r="F770" s="7"/>
      <c r="H770" s="7"/>
      <c r="J770" s="7"/>
      <c r="L770" s="7"/>
      <c r="N770" s="7"/>
      <c r="P770" s="7"/>
      <c r="R770" s="7"/>
    </row>
    <row r="771" spans="1:18" ht="21.6" customHeight="1">
      <c r="A771" s="26" t="e">
        <f>IF(#REF!="","",#REF!)</f>
        <v>#REF!</v>
      </c>
      <c r="B771" s="25" t="e">
        <f>IF(#REF!="","",#REF!)</f>
        <v>#REF!</v>
      </c>
      <c r="D771" s="7"/>
      <c r="F771" s="7"/>
      <c r="H771" s="7"/>
      <c r="J771" s="7"/>
      <c r="L771" s="7"/>
      <c r="N771" s="7"/>
      <c r="P771" s="7"/>
      <c r="R771" s="7"/>
    </row>
    <row r="772" spans="1:18" ht="9" customHeight="1">
      <c r="A772" s="26" t="e">
        <f>IF(#REF!="","",#REF!)</f>
        <v>#REF!</v>
      </c>
      <c r="B772" s="25" t="e">
        <f>IF(#REF!="","",#REF!)</f>
        <v>#REF!</v>
      </c>
      <c r="D772" s="7"/>
      <c r="F772" s="7"/>
      <c r="H772" s="7"/>
      <c r="J772" s="7"/>
      <c r="L772" s="7"/>
      <c r="N772" s="7"/>
      <c r="P772" s="7"/>
      <c r="R772" s="7"/>
    </row>
    <row r="773" spans="1:18" ht="21.6" customHeight="1">
      <c r="A773" s="26" t="e">
        <f>IF(#REF!="","",#REF!)</f>
        <v>#REF!</v>
      </c>
      <c r="B773" s="25" t="e">
        <f>IF(#REF!="","",#REF!)</f>
        <v>#REF!</v>
      </c>
      <c r="D773" s="7"/>
      <c r="F773" s="7"/>
      <c r="H773" s="7"/>
      <c r="J773" s="7"/>
      <c r="L773" s="7"/>
      <c r="N773" s="7"/>
      <c r="P773" s="7"/>
      <c r="R773" s="7"/>
    </row>
    <row r="774" spans="1:18" ht="9" customHeight="1">
      <c r="A774" s="26" t="e">
        <f>IF(#REF!="","",#REF!)</f>
        <v>#REF!</v>
      </c>
      <c r="B774" s="25" t="e">
        <f>IF(#REF!="","",#REF!)</f>
        <v>#REF!</v>
      </c>
      <c r="D774" s="7"/>
      <c r="F774" s="7"/>
      <c r="H774" s="7"/>
      <c r="J774" s="7"/>
      <c r="L774" s="7"/>
      <c r="N774" s="7"/>
      <c r="P774" s="7"/>
      <c r="R774" s="7"/>
    </row>
    <row r="775" spans="1:18" ht="21.6" customHeight="1">
      <c r="A775" s="26" t="e">
        <f>IF(#REF!="","",#REF!)</f>
        <v>#REF!</v>
      </c>
      <c r="B775" s="25" t="e">
        <f>IF(#REF!="","",#REF!)</f>
        <v>#REF!</v>
      </c>
      <c r="D775" s="7"/>
      <c r="F775" s="7"/>
      <c r="H775" s="7"/>
      <c r="J775" s="7"/>
      <c r="L775" s="7"/>
      <c r="N775" s="7"/>
      <c r="P775" s="7"/>
      <c r="R775" s="7"/>
    </row>
    <row r="776" spans="1:18" ht="9" customHeight="1">
      <c r="A776" s="26" t="e">
        <f>IF(#REF!="","",#REF!)</f>
        <v>#REF!</v>
      </c>
      <c r="B776" s="25" t="e">
        <f>IF(#REF!="","",#REF!)</f>
        <v>#REF!</v>
      </c>
      <c r="D776" s="7"/>
      <c r="F776" s="7"/>
      <c r="H776" s="7"/>
      <c r="J776" s="7"/>
      <c r="L776" s="7"/>
      <c r="N776" s="7"/>
      <c r="P776" s="7"/>
      <c r="R776" s="7"/>
    </row>
    <row r="777" spans="1:18" ht="21.6" customHeight="1">
      <c r="A777" s="26" t="e">
        <f>IF(#REF!="","",#REF!)</f>
        <v>#REF!</v>
      </c>
      <c r="B777" s="25" t="e">
        <f>IF(#REF!="","",#REF!)</f>
        <v>#REF!</v>
      </c>
      <c r="D777" s="7"/>
      <c r="F777" s="7"/>
      <c r="H777" s="7"/>
      <c r="J777" s="7"/>
      <c r="L777" s="7"/>
      <c r="N777" s="7"/>
      <c r="P777" s="7"/>
      <c r="R777" s="7"/>
    </row>
    <row r="778" spans="1:18" ht="9" customHeight="1">
      <c r="A778" s="26" t="e">
        <f>IF(#REF!="","",#REF!)</f>
        <v>#REF!</v>
      </c>
      <c r="B778" s="25" t="e">
        <f>IF(#REF!="","",#REF!)</f>
        <v>#REF!</v>
      </c>
      <c r="D778" s="7"/>
      <c r="F778" s="7"/>
      <c r="H778" s="7"/>
      <c r="J778" s="7"/>
      <c r="L778" s="7"/>
      <c r="N778" s="7"/>
      <c r="P778" s="7"/>
      <c r="R778" s="7"/>
    </row>
    <row r="779" spans="1:18" ht="21.6" customHeight="1">
      <c r="A779" s="26" t="e">
        <f>IF(#REF!="","",#REF!)</f>
        <v>#REF!</v>
      </c>
      <c r="B779" s="25" t="e">
        <f>IF(#REF!="","",#REF!)</f>
        <v>#REF!</v>
      </c>
    </row>
    <row r="780" spans="1:18" ht="9" customHeight="1">
      <c r="A780" s="26" t="e">
        <f>IF(#REF!="","",#REF!)</f>
        <v>#REF!</v>
      </c>
      <c r="B780" s="25" t="e">
        <f>IF(#REF!="","",#REF!)</f>
        <v>#REF!</v>
      </c>
    </row>
    <row r="781" spans="1:18" ht="21.6" customHeight="1">
      <c r="A781" s="26" t="e">
        <f>IF(#REF!="","",#REF!)</f>
        <v>#REF!</v>
      </c>
      <c r="B781" s="25" t="e">
        <f>IF(#REF!="","",#REF!)</f>
        <v>#REF!</v>
      </c>
    </row>
    <row r="782" spans="1:18" ht="9" customHeight="1">
      <c r="A782" s="26" t="e">
        <f>IF(#REF!="","",#REF!)</f>
        <v>#REF!</v>
      </c>
      <c r="B782" s="25" t="e">
        <f>IF(#REF!="","",#REF!)</f>
        <v>#REF!</v>
      </c>
    </row>
    <row r="783" spans="1:18" ht="21.6" customHeight="1">
      <c r="A783" s="26" t="e">
        <f>IF(#REF!="","",#REF!)</f>
        <v>#REF!</v>
      </c>
      <c r="B783" s="25" t="e">
        <f>IF(#REF!="","",#REF!)</f>
        <v>#REF!</v>
      </c>
    </row>
    <row r="784" spans="1:18" ht="9" customHeight="1">
      <c r="A784" s="26" t="e">
        <f>IF(#REF!="","",#REF!)</f>
        <v>#REF!</v>
      </c>
      <c r="B784" s="25" t="e">
        <f>IF(#REF!="","",#REF!)</f>
        <v>#REF!</v>
      </c>
    </row>
    <row r="785" spans="1:18" ht="21.6" customHeight="1">
      <c r="A785" s="26" t="e">
        <f>IF(#REF!="","",#REF!)</f>
        <v>#REF!</v>
      </c>
      <c r="B785" s="25" t="e">
        <f>IF(#REF!="","",#REF!)</f>
        <v>#REF!</v>
      </c>
    </row>
    <row r="786" spans="1:18" ht="9" customHeight="1">
      <c r="A786" s="26" t="e">
        <f>IF(#REF!="","",#REF!)</f>
        <v>#REF!</v>
      </c>
      <c r="B786" s="25" t="e">
        <f>IF(#REF!="","",#REF!)</f>
        <v>#REF!</v>
      </c>
    </row>
    <row r="787" spans="1:18" ht="21.6" customHeight="1">
      <c r="A787" s="26" t="e">
        <f>IF(#REF!="","",#REF!)</f>
        <v>#REF!</v>
      </c>
      <c r="B787" s="25" t="e">
        <f>IF(#REF!="","",#REF!)</f>
        <v>#REF!</v>
      </c>
    </row>
    <row r="788" spans="1:18" ht="9" customHeight="1">
      <c r="A788" s="26" t="e">
        <f>IF(#REF!="","",#REF!)</f>
        <v>#REF!</v>
      </c>
      <c r="B788" s="25" t="e">
        <f>IF(#REF!="","",#REF!)</f>
        <v>#REF!</v>
      </c>
    </row>
    <row r="789" spans="1:18" ht="21.6" customHeight="1">
      <c r="A789" s="26" t="e">
        <f>IF(#REF!="","",#REF!)</f>
        <v>#REF!</v>
      </c>
      <c r="B789" s="25" t="e">
        <f>IF(#REF!="","",#REF!)</f>
        <v>#REF!</v>
      </c>
    </row>
    <row r="790" spans="1:18" ht="9" customHeight="1">
      <c r="A790" s="26" t="e">
        <f>IF(#REF!="","",#REF!)</f>
        <v>#REF!</v>
      </c>
      <c r="B790" s="25" t="e">
        <f>IF(#REF!="","",#REF!)</f>
        <v>#REF!</v>
      </c>
      <c r="D790" s="7"/>
      <c r="F790" s="7"/>
      <c r="H790" s="7"/>
      <c r="J790" s="7"/>
      <c r="L790" s="7"/>
      <c r="N790" s="7"/>
      <c r="P790" s="7"/>
      <c r="R790" s="7"/>
    </row>
    <row r="791" spans="1:18" ht="21.6" customHeight="1">
      <c r="A791" s="26" t="e">
        <f>IF(#REF!="","",#REF!)</f>
        <v>#REF!</v>
      </c>
      <c r="B791" s="25" t="e">
        <f>IF(#REF!="","",#REF!)</f>
        <v>#REF!</v>
      </c>
      <c r="D791" s="7"/>
      <c r="F791" s="7"/>
      <c r="H791" s="7"/>
      <c r="J791" s="7"/>
      <c r="L791" s="7"/>
      <c r="N791" s="7"/>
      <c r="P791" s="7"/>
      <c r="R791" s="7"/>
    </row>
    <row r="792" spans="1:18" ht="9" customHeight="1">
      <c r="A792" s="26" t="e">
        <f>IF(#REF!="","",#REF!)</f>
        <v>#REF!</v>
      </c>
      <c r="B792" s="25" t="e">
        <f>IF(#REF!="","",#REF!)</f>
        <v>#REF!</v>
      </c>
      <c r="D792" s="7"/>
      <c r="F792" s="7"/>
      <c r="H792" s="7"/>
      <c r="J792" s="7"/>
      <c r="L792" s="7"/>
      <c r="N792" s="7"/>
      <c r="P792" s="7"/>
      <c r="R792" s="7"/>
    </row>
    <row r="793" spans="1:18" ht="21.6" customHeight="1">
      <c r="A793" s="26" t="e">
        <f>IF(#REF!="","",#REF!)</f>
        <v>#REF!</v>
      </c>
      <c r="B793" s="25" t="e">
        <f>IF(#REF!="","",#REF!)</f>
        <v>#REF!</v>
      </c>
      <c r="D793" s="7"/>
      <c r="F793" s="7"/>
      <c r="H793" s="7"/>
      <c r="J793" s="7"/>
      <c r="L793" s="7"/>
      <c r="N793" s="7"/>
      <c r="P793" s="7"/>
      <c r="R793" s="7"/>
    </row>
    <row r="794" spans="1:18" ht="9" customHeight="1">
      <c r="A794" s="26" t="e">
        <f>IF(#REF!="","",#REF!)</f>
        <v>#REF!</v>
      </c>
      <c r="B794" s="25" t="e">
        <f>IF(#REF!="","",#REF!)</f>
        <v>#REF!</v>
      </c>
      <c r="D794" s="7"/>
      <c r="F794" s="7"/>
      <c r="H794" s="7"/>
      <c r="J794" s="7"/>
      <c r="L794" s="7"/>
      <c r="N794" s="7"/>
      <c r="P794" s="7"/>
      <c r="R794" s="7"/>
    </row>
    <row r="795" spans="1:18" ht="21.6" customHeight="1">
      <c r="A795" s="26" t="e">
        <f>IF(#REF!="","",#REF!)</f>
        <v>#REF!</v>
      </c>
      <c r="B795" s="25" t="e">
        <f>IF(#REF!="","",#REF!)</f>
        <v>#REF!</v>
      </c>
      <c r="D795" s="7"/>
      <c r="F795" s="7"/>
      <c r="H795" s="7"/>
      <c r="J795" s="7"/>
      <c r="L795" s="7"/>
      <c r="N795" s="7"/>
      <c r="P795" s="7"/>
      <c r="R795" s="7"/>
    </row>
    <row r="796" spans="1:18" ht="9" customHeight="1">
      <c r="A796" s="26" t="e">
        <f>IF(#REF!="","",#REF!)</f>
        <v>#REF!</v>
      </c>
      <c r="B796" s="25" t="e">
        <f>IF(#REF!="","",#REF!)</f>
        <v>#REF!</v>
      </c>
      <c r="D796" s="7"/>
      <c r="F796" s="7"/>
      <c r="H796" s="7"/>
      <c r="J796" s="7"/>
      <c r="L796" s="7"/>
      <c r="N796" s="7"/>
      <c r="P796" s="7"/>
      <c r="R796" s="7"/>
    </row>
    <row r="797" spans="1:18" ht="21.6" customHeight="1">
      <c r="A797" s="26" t="e">
        <f>IF(#REF!="","",#REF!)</f>
        <v>#REF!</v>
      </c>
      <c r="B797" s="25" t="e">
        <f>IF(#REF!="","",#REF!)</f>
        <v>#REF!</v>
      </c>
      <c r="D797" s="7"/>
      <c r="F797" s="7"/>
      <c r="H797" s="7"/>
      <c r="J797" s="7"/>
      <c r="L797" s="7"/>
      <c r="N797" s="7"/>
      <c r="P797" s="7"/>
      <c r="R797" s="7"/>
    </row>
    <row r="798" spans="1:18" ht="9" customHeight="1">
      <c r="A798" s="26" t="e">
        <f>IF(#REF!="","",#REF!)</f>
        <v>#REF!</v>
      </c>
      <c r="B798" s="25" t="e">
        <f>IF(#REF!="","",#REF!)</f>
        <v>#REF!</v>
      </c>
      <c r="D798" s="7"/>
      <c r="F798" s="7"/>
      <c r="H798" s="7"/>
      <c r="J798" s="7"/>
      <c r="L798" s="7"/>
      <c r="N798" s="7"/>
      <c r="P798" s="7"/>
      <c r="R798" s="7"/>
    </row>
    <row r="799" spans="1:18" ht="21.6" customHeight="1">
      <c r="A799" s="26" t="e">
        <f>IF(#REF!="","",#REF!)</f>
        <v>#REF!</v>
      </c>
      <c r="B799" s="25" t="e">
        <f>IF(#REF!="","",#REF!)</f>
        <v>#REF!</v>
      </c>
    </row>
    <row r="800" spans="1:18" ht="9" customHeight="1">
      <c r="A800" s="26" t="e">
        <f>IF(#REF!="","",#REF!)</f>
        <v>#REF!</v>
      </c>
      <c r="B800" s="25" t="e">
        <f>IF(#REF!="","",#REF!)</f>
        <v>#REF!</v>
      </c>
    </row>
    <row r="801" spans="1:2" ht="21.6" customHeight="1">
      <c r="A801" s="26" t="e">
        <f>IF(#REF!="","",#REF!)</f>
        <v>#REF!</v>
      </c>
      <c r="B801" s="25" t="e">
        <f>IF(#REF!="","",#REF!)</f>
        <v>#REF!</v>
      </c>
    </row>
    <row r="802" spans="1:2" ht="9" customHeight="1">
      <c r="A802" s="26" t="e">
        <f>IF(#REF!="","",#REF!)</f>
        <v>#REF!</v>
      </c>
      <c r="B802" s="25" t="e">
        <f>IF(#REF!="","",#REF!)</f>
        <v>#REF!</v>
      </c>
    </row>
    <row r="803" spans="1:2" ht="21.6" customHeight="1">
      <c r="A803" s="26" t="e">
        <f>IF(#REF!="","",#REF!)</f>
        <v>#REF!</v>
      </c>
      <c r="B803" s="25" t="e">
        <f>IF(#REF!="","",#REF!)</f>
        <v>#REF!</v>
      </c>
    </row>
    <row r="804" spans="1:2" ht="9" customHeight="1">
      <c r="A804" s="26" t="e">
        <f>IF(#REF!="","",#REF!)</f>
        <v>#REF!</v>
      </c>
      <c r="B804" s="25" t="e">
        <f>IF(#REF!="","",#REF!)</f>
        <v>#REF!</v>
      </c>
    </row>
    <row r="805" spans="1:2" ht="21.6" customHeight="1">
      <c r="A805" s="26" t="e">
        <f>IF(#REF!="","",#REF!)</f>
        <v>#REF!</v>
      </c>
      <c r="B805" s="25" t="e">
        <f>IF(#REF!="","",#REF!)</f>
        <v>#REF!</v>
      </c>
    </row>
    <row r="806" spans="1:2" ht="9" customHeight="1">
      <c r="A806" s="26" t="e">
        <f>IF(#REF!="","",#REF!)</f>
        <v>#REF!</v>
      </c>
      <c r="B806" s="25" t="e">
        <f>IF(#REF!="","",#REF!)</f>
        <v>#REF!</v>
      </c>
    </row>
    <row r="807" spans="1:2" ht="21.6" customHeight="1">
      <c r="A807" s="26" t="e">
        <f>IF(#REF!="","",#REF!)</f>
        <v>#REF!</v>
      </c>
      <c r="B807" s="25" t="e">
        <f>IF(#REF!="","",#REF!)</f>
        <v>#REF!</v>
      </c>
    </row>
    <row r="808" spans="1:2" ht="9" customHeight="1">
      <c r="A808" s="26" t="e">
        <f>IF(#REF!="","",#REF!)</f>
        <v>#REF!</v>
      </c>
      <c r="B808" s="25" t="e">
        <f>IF(#REF!="","",#REF!)</f>
        <v>#REF!</v>
      </c>
    </row>
    <row r="809" spans="1:2" ht="21.6" customHeight="1">
      <c r="A809" s="26" t="e">
        <f>IF(#REF!="","",#REF!)</f>
        <v>#REF!</v>
      </c>
      <c r="B809" s="25" t="e">
        <f>IF(#REF!="","",#REF!)</f>
        <v>#REF!</v>
      </c>
    </row>
  </sheetData>
  <mergeCells count="8">
    <mergeCell ref="A1:T1"/>
    <mergeCell ref="A2:T2"/>
    <mergeCell ref="A3:T3"/>
    <mergeCell ref="A4:T4"/>
    <mergeCell ref="D6:F6"/>
    <mergeCell ref="H6:J6"/>
    <mergeCell ref="L6:N6"/>
    <mergeCell ref="P6:R6"/>
  </mergeCells>
  <conditionalFormatting sqref="D9:D10000 F9:F10000 H9:H10000 J9:J10000 L9:L10000 N9:N10000">
    <cfRule type="expression" dxfId="2" priority="3">
      <formula>$A9&lt;&gt;""</formula>
    </cfRule>
  </conditionalFormatting>
  <conditionalFormatting sqref="T9:T10000">
    <cfRule type="expression" dxfId="1" priority="2">
      <formula>$A9&lt;&gt;""</formula>
    </cfRule>
  </conditionalFormatting>
  <conditionalFormatting sqref="P9:P10000 R9:R10000">
    <cfRule type="expression" dxfId="0" priority="1">
      <formula>$A9&lt;&gt;""</formula>
    </cfRule>
  </conditionalFormatting>
  <pageMargins left="0" right="0" top="0" bottom="0" header="0" footer="0"/>
  <pageSetup paperSize="9" scale="55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4659D3-764C-49FE-B06E-C5933B5DD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DADOS</vt:lpstr>
      <vt:lpstr>modelo</vt:lpstr>
      <vt:lpstr>Colaboradores</vt:lpstr>
      <vt:lpstr>VEGETAIS</vt:lpstr>
      <vt:lpstr>VEGETAIS!Area_de_impressao</vt:lpstr>
      <vt:lpstr>VEGETAIS!Titulos_de_impressao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ES. Souza</dc:creator>
  <cp:lastModifiedBy>Emerson ES. Souza</cp:lastModifiedBy>
  <cp:lastPrinted>2026-02-23T19:28:41Z</cp:lastPrinted>
  <dcterms:created xsi:type="dcterms:W3CDTF">2020-02-17T10:14:40Z</dcterms:created>
  <dcterms:modified xsi:type="dcterms:W3CDTF">2026-02-25T17:18:07Z</dcterms:modified>
</cp:coreProperties>
</file>